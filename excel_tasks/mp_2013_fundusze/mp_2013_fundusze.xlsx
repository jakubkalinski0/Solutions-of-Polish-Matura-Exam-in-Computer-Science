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8" windowWidth="22056" windowHeight="9552"/>
  </bookViews>
  <sheets>
    <sheet name="Arkusz1" sheetId="1" r:id="rId1"/>
  </sheets>
  <definedNames>
    <definedName name="historia" localSheetId="0">Arkusz1!$A$2:$M$252</definedName>
  </definedNames>
  <calcPr calcId="125725"/>
</workbook>
</file>

<file path=xl/calcChain.xml><?xml version="1.0" encoding="utf-8"?>
<calcChain xmlns="http://schemas.openxmlformats.org/spreadsheetml/2006/main">
  <c r="R14" i="1"/>
  <c r="S14"/>
  <c r="T14"/>
  <c r="U14"/>
  <c r="V14"/>
  <c r="W14"/>
  <c r="X14"/>
  <c r="Y14"/>
  <c r="Z14"/>
  <c r="AA14"/>
  <c r="AB14"/>
  <c r="Q14"/>
  <c r="R13"/>
  <c r="S13"/>
  <c r="T13"/>
  <c r="U13"/>
  <c r="V13"/>
  <c r="W13"/>
  <c r="X13"/>
  <c r="Y13"/>
  <c r="Z13"/>
  <c r="AA13"/>
  <c r="AB13"/>
  <c r="Q13"/>
  <c r="R9"/>
  <c r="R7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"/>
  <c r="R3"/>
  <c r="S3"/>
  <c r="T3"/>
  <c r="U3"/>
  <c r="V3"/>
  <c r="W3"/>
  <c r="X3"/>
  <c r="Y3"/>
  <c r="Z3"/>
  <c r="AA3"/>
  <c r="AB3"/>
  <c r="Q3"/>
  <c r="P7" l="1"/>
</calcChain>
</file>

<file path=xl/connections.xml><?xml version="1.0" encoding="utf-8"?>
<connections xmlns="http://schemas.openxmlformats.org/spreadsheetml/2006/main">
  <connection id="1" name="historia" type="6" refreshedVersion="3" background="1" saveData="1">
    <textPr codePage="852" sourceFile="C:\Users\Jakub Kalinski\Desktop\JK\Szkola\Excel_matura\Excel_sf\Excel_mp_sf\2013_fundusze\historia.txt" decimal="," thousands=" " tab="0" semicolon="1">
      <textFields count="13">
        <textField type="YMD"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<sst xmlns="http://schemas.openxmlformats.org/spreadsheetml/2006/main" count="50" uniqueCount="25">
  <si>
    <t>Data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</si>
  <si>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</si>
  <si>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</si>
  <si>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</si>
  <si>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</si>
  <si>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</si>
  <si>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</si>
  <si>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</si>
  <si>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</si>
  <si>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</si>
  <si>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</si>
  <si>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</si>
  <si>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</si>
  <si>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Odp a</t>
  </si>
  <si>
    <t>Fundusz</t>
  </si>
  <si>
    <t>Srednia cena</t>
  </si>
  <si>
    <t>Wyzsze niż 33</t>
  </si>
  <si>
    <t>Odp b</t>
  </si>
  <si>
    <t>Wiecej niż 33 było</t>
  </si>
  <si>
    <t>Odp c</t>
  </si>
  <si>
    <t>Ile razy:</t>
  </si>
  <si>
    <t>Najczęściej występuje:</t>
  </si>
  <si>
    <t>Odp d</t>
  </si>
  <si>
    <t>Max</t>
  </si>
  <si>
    <t>Min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</si>
</sst>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>
              <a:defRPr/>
            </a:pPr>
            <a:r>
              <a:rPr lang="pl-PL"/>
              <a:t>Najwyższa i najniższa cena jednostki wszystkich funduszy</a:t>
            </a:r>
            <a:r>
              <a:rPr lang="pl-PL" baseline="0"/>
              <a:t> w 2008 roku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Arkusz1!$P$13</c:f>
              <c:strCache>
                <c:ptCount val="1"/>
                <c:pt idx="0">
                  <c:v>Max</c:v>
                </c:pt>
              </c:strCache>
            </c:strRef>
          </c:tx>
          <c:marker>
            <c:symbol val="none"/>
          </c:marker>
          <c:cat>
            <c:strRef>
              <c:f>Arkusz1!$Q$12:$AB$12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Arkusz1!$Q$13:$AB$13</c:f>
              <c:numCache>
                <c:formatCode>General</c:formatCode>
                <c:ptCount val="12"/>
                <c:pt idx="0">
                  <c:v>50.9</c:v>
                </c:pt>
                <c:pt idx="1">
                  <c:v>51.62</c:v>
                </c:pt>
                <c:pt idx="2">
                  <c:v>53.12</c:v>
                </c:pt>
                <c:pt idx="3">
                  <c:v>58.66</c:v>
                </c:pt>
                <c:pt idx="4">
                  <c:v>58.96</c:v>
                </c:pt>
                <c:pt idx="5">
                  <c:v>59.26</c:v>
                </c:pt>
                <c:pt idx="6">
                  <c:v>48.15</c:v>
                </c:pt>
                <c:pt idx="7">
                  <c:v>48.17</c:v>
                </c:pt>
                <c:pt idx="8">
                  <c:v>48.19</c:v>
                </c:pt>
                <c:pt idx="9">
                  <c:v>50.23</c:v>
                </c:pt>
                <c:pt idx="10">
                  <c:v>50.23</c:v>
                </c:pt>
                <c:pt idx="11">
                  <c:v>50.23</c:v>
                </c:pt>
              </c:numCache>
            </c:numRef>
          </c:val>
        </c:ser>
        <c:ser>
          <c:idx val="1"/>
          <c:order val="1"/>
          <c:tx>
            <c:strRef>
              <c:f>Arkusz1!$P$14</c:f>
              <c:strCache>
                <c:ptCount val="1"/>
                <c:pt idx="0">
                  <c:v>Min</c:v>
                </c:pt>
              </c:strCache>
            </c:strRef>
          </c:tx>
          <c:marker>
            <c:symbol val="none"/>
          </c:marker>
          <c:cat>
            <c:strRef>
              <c:f>Arkusz1!$Q$12:$AB$12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Arkusz1!$Q$14:$AB$14</c:f>
              <c:numCache>
                <c:formatCode>General</c:formatCode>
                <c:ptCount val="12"/>
                <c:pt idx="0">
                  <c:v>20.82</c:v>
                </c:pt>
                <c:pt idx="1">
                  <c:v>21.21</c:v>
                </c:pt>
                <c:pt idx="2">
                  <c:v>21.92</c:v>
                </c:pt>
                <c:pt idx="3">
                  <c:v>18.760000000000002</c:v>
                </c:pt>
                <c:pt idx="4">
                  <c:v>18.940000000000001</c:v>
                </c:pt>
                <c:pt idx="5">
                  <c:v>19.12</c:v>
                </c:pt>
                <c:pt idx="6">
                  <c:v>16.04</c:v>
                </c:pt>
                <c:pt idx="7">
                  <c:v>16.079999999999998</c:v>
                </c:pt>
                <c:pt idx="8">
                  <c:v>16.12</c:v>
                </c:pt>
                <c:pt idx="9">
                  <c:v>20.329999999999998</c:v>
                </c:pt>
                <c:pt idx="10">
                  <c:v>20.41</c:v>
                </c:pt>
                <c:pt idx="11">
                  <c:v>20.5</c:v>
                </c:pt>
              </c:numCache>
            </c:numRef>
          </c:val>
        </c:ser>
        <c:dLbls>
          <c:dLblPos val="t"/>
          <c:showVal val="1"/>
        </c:dLbls>
        <c:marker val="1"/>
        <c:axId val="60225792"/>
        <c:axId val="100667392"/>
      </c:lineChart>
      <c:catAx>
        <c:axId val="60225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Fundusz</a:t>
                </a:r>
              </a:p>
            </c:rich>
          </c:tx>
          <c:layout/>
        </c:title>
        <c:tickLblPos val="nextTo"/>
        <c:crossAx val="100667392"/>
        <c:crosses val="autoZero"/>
        <c:auto val="1"/>
        <c:lblAlgn val="ctr"/>
        <c:lblOffset val="100"/>
      </c:catAx>
      <c:valAx>
        <c:axId val="100667392"/>
        <c:scaling>
          <c:orientation val="minMax"/>
        </c:scaling>
        <c:axPos val="l"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Cena jednostki</a:t>
                </a:r>
              </a:p>
            </c:rich>
          </c:tx>
          <c:layout/>
        </c:title>
        <c:numFmt formatCode="General" sourceLinked="1"/>
        <c:tickLblPos val="nextTo"/>
        <c:crossAx val="602257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15</xdr:row>
      <xdr:rowOff>38100</xdr:rowOff>
    </xdr:from>
    <xdr:to>
      <xdr:col>27</xdr:col>
      <xdr:colOff>411480</xdr:colOff>
      <xdr:row>37</xdr:row>
      <xdr:rowOff>121920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histori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52"/>
  <sheetViews>
    <sheetView tabSelected="1" topLeftCell="B1" zoomScale="85" zoomScaleNormal="85" workbookViewId="0">
      <selection activeCell="O18" sqref="O18"/>
    </sheetView>
  </sheetViews>
  <sheetFormatPr defaultRowHeight="13.8"/>
  <cols>
    <col min="1" max="1" width="9.8984375" bestFit="1" customWidth="1"/>
    <col min="2" max="13" width="5.8984375" bestFit="1" customWidth="1"/>
    <col min="14" max="14" width="12.19921875" bestFit="1" customWidth="1"/>
    <col min="15" max="15" width="11.5" bestFit="1" customWidth="1"/>
    <col min="16" max="16" width="15.3984375" bestFit="1" customWidth="1"/>
    <col min="17" max="17" width="5.8984375" bestFit="1" customWidth="1"/>
    <col min="18" max="18" width="19.09765625" bestFit="1" customWidth="1"/>
    <col min="19" max="28" width="5.8984375" bestFit="1" customWidth="1"/>
    <col min="29" max="29" width="9.097656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16</v>
      </c>
      <c r="P1" s="2" t="s">
        <v>13</v>
      </c>
    </row>
    <row r="2" spans="1:29">
      <c r="A2" s="1">
        <v>39449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  <c r="N2" s="3">
        <f>IF(AND(B2&gt;33,C2&gt;33,D2&gt;33,E2&gt;33,F2&gt;33,G2&gt;33,H2&gt;33,I2&gt;33,J2&gt;33,K2&gt;33,L2&gt;33,M2&gt;33),1,"NIE")</f>
        <v>1</v>
      </c>
      <c r="P2" s="2" t="s">
        <v>14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</row>
    <row r="3" spans="1:29">
      <c r="A3" s="1">
        <v>39450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  <c r="N3" s="3">
        <f t="shared" ref="N3:N66" si="0">IF(AND(B3&gt;33,C3&gt;33,D3&gt;33,E3&gt;33,F3&gt;33,G3&gt;33,H3&gt;33,I3&gt;33,J3&gt;33,K3&gt;33,L3&gt;33,M3&gt;33),1,"NIE")</f>
        <v>1</v>
      </c>
      <c r="P3" s="2" t="s">
        <v>15</v>
      </c>
      <c r="Q3" s="2">
        <f>ROUND(AVERAGE(B2:B252),2)</f>
        <v>36.54</v>
      </c>
      <c r="R3" s="2">
        <f>ROUND(AVERAGE(C2:C252),2)</f>
        <v>37.14</v>
      </c>
      <c r="S3" s="2">
        <f>ROUND(AVERAGE(D2:D252),2)</f>
        <v>38.299999999999997</v>
      </c>
      <c r="T3" s="2">
        <f>ROUND(AVERAGE(E2:E252),2)</f>
        <v>39</v>
      </c>
      <c r="U3" s="2">
        <f>ROUND(AVERAGE(F2:F252),2)</f>
        <v>39.28</v>
      </c>
      <c r="V3" s="2">
        <f>ROUND(AVERAGE(G2:G252),2)</f>
        <v>39.56</v>
      </c>
      <c r="W3" s="2">
        <f>ROUND(AVERAGE(H2:H252),2)</f>
        <v>33.4</v>
      </c>
      <c r="X3" s="2">
        <f>ROUND(AVERAGE(I2:I252),2)</f>
        <v>33.44</v>
      </c>
      <c r="Y3" s="2">
        <f>ROUND(AVERAGE(J2:J252),2)</f>
        <v>33.49</v>
      </c>
      <c r="Z3" s="2">
        <f>ROUND(AVERAGE(K2:K252),2)</f>
        <v>38.340000000000003</v>
      </c>
      <c r="AA3" s="2">
        <f>ROUND(AVERAGE(L2:L252),2)</f>
        <v>38.42</v>
      </c>
      <c r="AB3" s="2">
        <f>ROUND(AVERAGE(M2:M252),2)</f>
        <v>38.49</v>
      </c>
    </row>
    <row r="4" spans="1:29">
      <c r="A4" s="1">
        <v>39451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  <c r="N4" s="3">
        <f t="shared" si="0"/>
        <v>1</v>
      </c>
    </row>
    <row r="5" spans="1:29">
      <c r="A5" s="1">
        <v>39454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  <c r="N5" s="3">
        <f t="shared" si="0"/>
        <v>1</v>
      </c>
      <c r="P5" s="3" t="s">
        <v>17</v>
      </c>
      <c r="R5" s="5" t="s">
        <v>19</v>
      </c>
    </row>
    <row r="6" spans="1:29">
      <c r="A6" s="1">
        <v>39455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  <c r="N6" s="3">
        <f t="shared" si="0"/>
        <v>1</v>
      </c>
      <c r="P6" s="3" t="s">
        <v>18</v>
      </c>
      <c r="R6" s="5" t="s">
        <v>21</v>
      </c>
    </row>
    <row r="7" spans="1:29">
      <c r="A7" s="1">
        <v>39456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  <c r="N7" s="3">
        <f t="shared" si="0"/>
        <v>1</v>
      </c>
      <c r="P7" s="3">
        <f>SUM(N2:N252)</f>
        <v>158</v>
      </c>
      <c r="R7" s="5">
        <f>MODE(B2:M252)</f>
        <v>42.98</v>
      </c>
    </row>
    <row r="8" spans="1:29">
      <c r="A8" s="1">
        <v>39457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  <c r="N8" s="3">
        <f t="shared" si="0"/>
        <v>1</v>
      </c>
      <c r="R8" s="5" t="s">
        <v>20</v>
      </c>
    </row>
    <row r="9" spans="1:29">
      <c r="A9" s="1">
        <v>39458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  <c r="N9" s="3">
        <f t="shared" si="0"/>
        <v>1</v>
      </c>
      <c r="R9" s="5">
        <f>COUNTIF(B2:M252,R7)</f>
        <v>8</v>
      </c>
    </row>
    <row r="10" spans="1:29">
      <c r="A10" s="1">
        <v>39461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  <c r="N10" s="3">
        <f t="shared" si="0"/>
        <v>1</v>
      </c>
    </row>
    <row r="11" spans="1:29">
      <c r="A11" s="1">
        <v>39462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  <c r="N11" s="3">
        <f t="shared" si="0"/>
        <v>1</v>
      </c>
      <c r="P11" s="4" t="s">
        <v>22</v>
      </c>
    </row>
    <row r="12" spans="1:29">
      <c r="A12" s="1">
        <v>39463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  <c r="N12" s="3">
        <f t="shared" si="0"/>
        <v>1</v>
      </c>
      <c r="P12" s="4" t="s">
        <v>14</v>
      </c>
      <c r="Q12" s="4" t="s">
        <v>1</v>
      </c>
      <c r="R12" s="4" t="s">
        <v>2</v>
      </c>
      <c r="S12" s="4" t="s">
        <v>3</v>
      </c>
      <c r="T12" s="4" t="s">
        <v>4</v>
      </c>
      <c r="U12" s="4" t="s">
        <v>5</v>
      </c>
      <c r="V12" s="4" t="s">
        <v>6</v>
      </c>
      <c r="W12" s="4" t="s">
        <v>7</v>
      </c>
      <c r="X12" s="4" t="s">
        <v>8</v>
      </c>
      <c r="Y12" s="4" t="s">
        <v>9</v>
      </c>
      <c r="Z12" s="4" t="s">
        <v>10</v>
      </c>
      <c r="AA12" s="4" t="s">
        <v>11</v>
      </c>
      <c r="AB12" s="4" t="s">
        <v>12</v>
      </c>
      <c r="AC12" s="6"/>
    </row>
    <row r="13" spans="1:29">
      <c r="A13" s="1">
        <v>39464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  <c r="N13" s="3">
        <f t="shared" si="0"/>
        <v>1</v>
      </c>
      <c r="P13" s="4" t="s">
        <v>23</v>
      </c>
      <c r="Q13" s="4">
        <f>MAX(B2:B252)</f>
        <v>50.9</v>
      </c>
      <c r="R13" s="4">
        <f t="shared" ref="R13:AC13" si="1">MAX(C2:C252)</f>
        <v>51.62</v>
      </c>
      <c r="S13" s="4">
        <f t="shared" si="1"/>
        <v>53.12</v>
      </c>
      <c r="T13" s="4">
        <f t="shared" si="1"/>
        <v>58.66</v>
      </c>
      <c r="U13" s="4">
        <f t="shared" si="1"/>
        <v>58.96</v>
      </c>
      <c r="V13" s="4">
        <f t="shared" si="1"/>
        <v>59.26</v>
      </c>
      <c r="W13" s="4">
        <f t="shared" si="1"/>
        <v>48.15</v>
      </c>
      <c r="X13" s="4">
        <f t="shared" si="1"/>
        <v>48.17</v>
      </c>
      <c r="Y13" s="4">
        <f t="shared" si="1"/>
        <v>48.19</v>
      </c>
      <c r="Z13" s="4">
        <f t="shared" si="1"/>
        <v>50.23</v>
      </c>
      <c r="AA13" s="4">
        <f t="shared" si="1"/>
        <v>50.23</v>
      </c>
      <c r="AB13" s="4">
        <f t="shared" si="1"/>
        <v>50.23</v>
      </c>
      <c r="AC13" s="6"/>
    </row>
    <row r="14" spans="1:29">
      <c r="A14" s="1">
        <v>39465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  <c r="N14" s="3">
        <f t="shared" si="0"/>
        <v>1</v>
      </c>
      <c r="P14" s="4" t="s">
        <v>24</v>
      </c>
      <c r="Q14" s="4">
        <f>MIN(B2:B252)</f>
        <v>20.82</v>
      </c>
      <c r="R14" s="4">
        <f t="shared" ref="R14:AC14" si="2">MIN(C2:C252)</f>
        <v>21.21</v>
      </c>
      <c r="S14" s="4">
        <f t="shared" si="2"/>
        <v>21.92</v>
      </c>
      <c r="T14" s="4">
        <f t="shared" si="2"/>
        <v>18.760000000000002</v>
      </c>
      <c r="U14" s="4">
        <f t="shared" si="2"/>
        <v>18.940000000000001</v>
      </c>
      <c r="V14" s="4">
        <f t="shared" si="2"/>
        <v>19.12</v>
      </c>
      <c r="W14" s="4">
        <f t="shared" si="2"/>
        <v>16.04</v>
      </c>
      <c r="X14" s="4">
        <f t="shared" si="2"/>
        <v>16.079999999999998</v>
      </c>
      <c r="Y14" s="4">
        <f t="shared" si="2"/>
        <v>16.12</v>
      </c>
      <c r="Z14" s="4">
        <f t="shared" si="2"/>
        <v>20.329999999999998</v>
      </c>
      <c r="AA14" s="4">
        <f t="shared" si="2"/>
        <v>20.41</v>
      </c>
      <c r="AB14" s="4">
        <f t="shared" si="2"/>
        <v>20.5</v>
      </c>
      <c r="AC14" s="6"/>
    </row>
    <row r="15" spans="1:29">
      <c r="A15" s="1">
        <v>39468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  <c r="N15" s="3">
        <f t="shared" si="0"/>
        <v>1</v>
      </c>
    </row>
    <row r="16" spans="1:29">
      <c r="A16" s="1">
        <v>39469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  <c r="N16" s="3">
        <f t="shared" si="0"/>
        <v>1</v>
      </c>
    </row>
    <row r="17" spans="1:14">
      <c r="A17" s="1">
        <v>39470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  <c r="N17" s="3">
        <f t="shared" si="0"/>
        <v>1</v>
      </c>
    </row>
    <row r="18" spans="1:14">
      <c r="A18" s="1">
        <v>39471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  <c r="N18" s="3">
        <f t="shared" si="0"/>
        <v>1</v>
      </c>
    </row>
    <row r="19" spans="1:14">
      <c r="A19" s="1">
        <v>39472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  <c r="N19" s="3">
        <f t="shared" si="0"/>
        <v>1</v>
      </c>
    </row>
    <row r="20" spans="1:14">
      <c r="A20" s="1">
        <v>39475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  <c r="N20" s="3">
        <f t="shared" si="0"/>
        <v>1</v>
      </c>
    </row>
    <row r="21" spans="1:14">
      <c r="A21" s="1">
        <v>39476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  <c r="N21" s="3">
        <f t="shared" si="0"/>
        <v>1</v>
      </c>
    </row>
    <row r="22" spans="1:14">
      <c r="A22" s="1">
        <v>39477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  <c r="N22" s="3">
        <f t="shared" si="0"/>
        <v>1</v>
      </c>
    </row>
    <row r="23" spans="1:14">
      <c r="A23" s="1">
        <v>39478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  <c r="N23" s="3">
        <f t="shared" si="0"/>
        <v>1</v>
      </c>
    </row>
    <row r="24" spans="1:14">
      <c r="A24" s="1">
        <v>39479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  <c r="N24" s="3">
        <f t="shared" si="0"/>
        <v>1</v>
      </c>
    </row>
    <row r="25" spans="1:14">
      <c r="A25" s="1">
        <v>39482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  <c r="N25" s="3">
        <f t="shared" si="0"/>
        <v>1</v>
      </c>
    </row>
    <row r="26" spans="1:14">
      <c r="A26" s="1">
        <v>39483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  <c r="N26" s="3">
        <f t="shared" si="0"/>
        <v>1</v>
      </c>
    </row>
    <row r="27" spans="1:14">
      <c r="A27" s="1">
        <v>39484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  <c r="N27" s="3">
        <f t="shared" si="0"/>
        <v>1</v>
      </c>
    </row>
    <row r="28" spans="1:14">
      <c r="A28" s="1">
        <v>39485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  <c r="N28" s="3">
        <f t="shared" si="0"/>
        <v>1</v>
      </c>
    </row>
    <row r="29" spans="1:14">
      <c r="A29" s="1">
        <v>39486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  <c r="N29" s="3">
        <f t="shared" si="0"/>
        <v>1</v>
      </c>
    </row>
    <row r="30" spans="1:14">
      <c r="A30" s="1">
        <v>39489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  <c r="N30" s="3">
        <f t="shared" si="0"/>
        <v>1</v>
      </c>
    </row>
    <row r="31" spans="1:14">
      <c r="A31" s="1">
        <v>39490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  <c r="N31" s="3">
        <f t="shared" si="0"/>
        <v>1</v>
      </c>
    </row>
    <row r="32" spans="1:14">
      <c r="A32" s="1">
        <v>39491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  <c r="N32" s="3">
        <f t="shared" si="0"/>
        <v>1</v>
      </c>
    </row>
    <row r="33" spans="1:14">
      <c r="A33" s="1">
        <v>39492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  <c r="N33" s="3">
        <f t="shared" si="0"/>
        <v>1</v>
      </c>
    </row>
    <row r="34" spans="1:14">
      <c r="A34" s="1">
        <v>39493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  <c r="N34" s="3">
        <f t="shared" si="0"/>
        <v>1</v>
      </c>
    </row>
    <row r="35" spans="1:14">
      <c r="A35" s="1">
        <v>39496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  <c r="N35" s="3">
        <f t="shared" si="0"/>
        <v>1</v>
      </c>
    </row>
    <row r="36" spans="1:14">
      <c r="A36" s="1">
        <v>39497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  <c r="N36" s="3">
        <f t="shared" si="0"/>
        <v>1</v>
      </c>
    </row>
    <row r="37" spans="1:14">
      <c r="A37" s="1">
        <v>39498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  <c r="N37" s="3">
        <f t="shared" si="0"/>
        <v>1</v>
      </c>
    </row>
    <row r="38" spans="1:14">
      <c r="A38" s="1">
        <v>39499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  <c r="N38" s="3">
        <f t="shared" si="0"/>
        <v>1</v>
      </c>
    </row>
    <row r="39" spans="1:14">
      <c r="A39" s="1">
        <v>39500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  <c r="N39" s="3">
        <f t="shared" si="0"/>
        <v>1</v>
      </c>
    </row>
    <row r="40" spans="1:14">
      <c r="A40" s="1">
        <v>39503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  <c r="N40" s="3">
        <f t="shared" si="0"/>
        <v>1</v>
      </c>
    </row>
    <row r="41" spans="1:14">
      <c r="A41" s="1">
        <v>39504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  <c r="N41" s="3">
        <f t="shared" si="0"/>
        <v>1</v>
      </c>
    </row>
    <row r="42" spans="1:14">
      <c r="A42" s="1">
        <v>39505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  <c r="N42" s="3">
        <f t="shared" si="0"/>
        <v>1</v>
      </c>
    </row>
    <row r="43" spans="1:14">
      <c r="A43" s="1">
        <v>39506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  <c r="N43" s="3">
        <f t="shared" si="0"/>
        <v>1</v>
      </c>
    </row>
    <row r="44" spans="1:14">
      <c r="A44" s="1">
        <v>39507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  <c r="N44" s="3">
        <f t="shared" si="0"/>
        <v>1</v>
      </c>
    </row>
    <row r="45" spans="1:14">
      <c r="A45" s="1">
        <v>39510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  <c r="N45" s="3">
        <f t="shared" si="0"/>
        <v>1</v>
      </c>
    </row>
    <row r="46" spans="1:14">
      <c r="A46" s="1">
        <v>39511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  <c r="N46" s="3">
        <f t="shared" si="0"/>
        <v>1</v>
      </c>
    </row>
    <row r="47" spans="1:14">
      <c r="A47" s="1">
        <v>39512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  <c r="N47" s="3">
        <f t="shared" si="0"/>
        <v>1</v>
      </c>
    </row>
    <row r="48" spans="1:14">
      <c r="A48" s="1">
        <v>39513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  <c r="N48" s="3">
        <f t="shared" si="0"/>
        <v>1</v>
      </c>
    </row>
    <row r="49" spans="1:14">
      <c r="A49" s="1">
        <v>39514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  <c r="N49" s="3">
        <f t="shared" si="0"/>
        <v>1</v>
      </c>
    </row>
    <row r="50" spans="1:14">
      <c r="A50" s="1">
        <v>39517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  <c r="N50" s="3">
        <f t="shared" si="0"/>
        <v>1</v>
      </c>
    </row>
    <row r="51" spans="1:14">
      <c r="A51" s="1">
        <v>39518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  <c r="N51" s="3">
        <f t="shared" si="0"/>
        <v>1</v>
      </c>
    </row>
    <row r="52" spans="1:14">
      <c r="A52" s="1">
        <v>39519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  <c r="N52" s="3">
        <f t="shared" si="0"/>
        <v>1</v>
      </c>
    </row>
    <row r="53" spans="1:14">
      <c r="A53" s="1">
        <v>39520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  <c r="N53" s="3">
        <f t="shared" si="0"/>
        <v>1</v>
      </c>
    </row>
    <row r="54" spans="1:14">
      <c r="A54" s="1">
        <v>39521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  <c r="N54" s="3">
        <f t="shared" si="0"/>
        <v>1</v>
      </c>
    </row>
    <row r="55" spans="1:14">
      <c r="A55" s="1">
        <v>39524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  <c r="N55" s="3">
        <f t="shared" si="0"/>
        <v>1</v>
      </c>
    </row>
    <row r="56" spans="1:14">
      <c r="A56" s="1">
        <v>39525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  <c r="N56" s="3">
        <f t="shared" si="0"/>
        <v>1</v>
      </c>
    </row>
    <row r="57" spans="1:14">
      <c r="A57" s="1">
        <v>39526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  <c r="N57" s="3">
        <f t="shared" si="0"/>
        <v>1</v>
      </c>
    </row>
    <row r="58" spans="1:14">
      <c r="A58" s="1">
        <v>39527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  <c r="N58" s="3">
        <f t="shared" si="0"/>
        <v>1</v>
      </c>
    </row>
    <row r="59" spans="1:14">
      <c r="A59" s="1">
        <v>39532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  <c r="N59" s="3">
        <f t="shared" si="0"/>
        <v>1</v>
      </c>
    </row>
    <row r="60" spans="1:14">
      <c r="A60" s="1">
        <v>39533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  <c r="N60" s="3">
        <f t="shared" si="0"/>
        <v>1</v>
      </c>
    </row>
    <row r="61" spans="1:14">
      <c r="A61" s="1">
        <v>39534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  <c r="N61" s="3">
        <f t="shared" si="0"/>
        <v>1</v>
      </c>
    </row>
    <row r="62" spans="1:14">
      <c r="A62" s="1">
        <v>39535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  <c r="N62" s="3">
        <f t="shared" si="0"/>
        <v>1</v>
      </c>
    </row>
    <row r="63" spans="1:14">
      <c r="A63" s="1">
        <v>39538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  <c r="N63" s="3">
        <f t="shared" si="0"/>
        <v>1</v>
      </c>
    </row>
    <row r="64" spans="1:14">
      <c r="A64" s="1">
        <v>39539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  <c r="N64" s="3">
        <f t="shared" si="0"/>
        <v>1</v>
      </c>
    </row>
    <row r="65" spans="1:14">
      <c r="A65" s="1">
        <v>39540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  <c r="N65" s="3">
        <f t="shared" si="0"/>
        <v>1</v>
      </c>
    </row>
    <row r="66" spans="1:14">
      <c r="A66" s="1">
        <v>39541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  <c r="N66" s="3">
        <f t="shared" si="0"/>
        <v>1</v>
      </c>
    </row>
    <row r="67" spans="1:14">
      <c r="A67" s="1">
        <v>39542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  <c r="N67" s="3">
        <f t="shared" ref="N67:N130" si="3">IF(AND(B67&gt;33,C67&gt;33,D67&gt;33,E67&gt;33,F67&gt;33,G67&gt;33,H67&gt;33,I67&gt;33,J67&gt;33,K67&gt;33,L67&gt;33,M67&gt;33),1,"NIE")</f>
        <v>1</v>
      </c>
    </row>
    <row r="68" spans="1:14">
      <c r="A68" s="1">
        <v>39545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  <c r="N68" s="3">
        <f t="shared" si="3"/>
        <v>1</v>
      </c>
    </row>
    <row r="69" spans="1:14">
      <c r="A69" s="1">
        <v>39546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  <c r="N69" s="3">
        <f t="shared" si="3"/>
        <v>1</v>
      </c>
    </row>
    <row r="70" spans="1:14">
      <c r="A70" s="1">
        <v>39547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  <c r="N70" s="3">
        <f t="shared" si="3"/>
        <v>1</v>
      </c>
    </row>
    <row r="71" spans="1:14">
      <c r="A71" s="1">
        <v>39548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  <c r="N71" s="3">
        <f t="shared" si="3"/>
        <v>1</v>
      </c>
    </row>
    <row r="72" spans="1:14">
      <c r="A72" s="1">
        <v>39549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  <c r="N72" s="3">
        <f t="shared" si="3"/>
        <v>1</v>
      </c>
    </row>
    <row r="73" spans="1:14">
      <c r="A73" s="1">
        <v>39552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  <c r="N73" s="3">
        <f t="shared" si="3"/>
        <v>1</v>
      </c>
    </row>
    <row r="74" spans="1:14">
      <c r="A74" s="1">
        <v>39553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  <c r="N74" s="3">
        <f t="shared" si="3"/>
        <v>1</v>
      </c>
    </row>
    <row r="75" spans="1:14">
      <c r="A75" s="1">
        <v>39554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  <c r="N75" s="3">
        <f t="shared" si="3"/>
        <v>1</v>
      </c>
    </row>
    <row r="76" spans="1:14">
      <c r="A76" s="1">
        <v>39555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  <c r="N76" s="3">
        <f t="shared" si="3"/>
        <v>1</v>
      </c>
    </row>
    <row r="77" spans="1:14">
      <c r="A77" s="1">
        <v>39556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  <c r="N77" s="3">
        <f t="shared" si="3"/>
        <v>1</v>
      </c>
    </row>
    <row r="78" spans="1:14">
      <c r="A78" s="1">
        <v>39559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  <c r="N78" s="3">
        <f t="shared" si="3"/>
        <v>1</v>
      </c>
    </row>
    <row r="79" spans="1:14">
      <c r="A79" s="1">
        <v>39560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  <c r="N79" s="3">
        <f t="shared" si="3"/>
        <v>1</v>
      </c>
    </row>
    <row r="80" spans="1:14">
      <c r="A80" s="1">
        <v>39561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  <c r="N80" s="3">
        <f t="shared" si="3"/>
        <v>1</v>
      </c>
    </row>
    <row r="81" spans="1:14">
      <c r="A81" s="1">
        <v>39562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  <c r="N81" s="3">
        <f t="shared" si="3"/>
        <v>1</v>
      </c>
    </row>
    <row r="82" spans="1:14">
      <c r="A82" s="1">
        <v>39563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  <c r="N82" s="3">
        <f t="shared" si="3"/>
        <v>1</v>
      </c>
    </row>
    <row r="83" spans="1:14">
      <c r="A83" s="1">
        <v>39566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  <c r="N83" s="3">
        <f t="shared" si="3"/>
        <v>1</v>
      </c>
    </row>
    <row r="84" spans="1:14">
      <c r="A84" s="1">
        <v>39567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  <c r="N84" s="3">
        <f t="shared" si="3"/>
        <v>1</v>
      </c>
    </row>
    <row r="85" spans="1:14">
      <c r="A85" s="1">
        <v>39568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  <c r="N85" s="3">
        <f t="shared" si="3"/>
        <v>1</v>
      </c>
    </row>
    <row r="86" spans="1:14">
      <c r="A86" s="1">
        <v>39573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  <c r="N86" s="3">
        <f t="shared" si="3"/>
        <v>1</v>
      </c>
    </row>
    <row r="87" spans="1:14">
      <c r="A87" s="1">
        <v>39574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  <c r="N87" s="3">
        <f t="shared" si="3"/>
        <v>1</v>
      </c>
    </row>
    <row r="88" spans="1:14">
      <c r="A88" s="1">
        <v>39575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  <c r="N88" s="3">
        <f t="shared" si="3"/>
        <v>1</v>
      </c>
    </row>
    <row r="89" spans="1:14">
      <c r="A89" s="1">
        <v>39576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  <c r="N89" s="3">
        <f t="shared" si="3"/>
        <v>1</v>
      </c>
    </row>
    <row r="90" spans="1:14">
      <c r="A90" s="1">
        <v>39577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  <c r="N90" s="3">
        <f t="shared" si="3"/>
        <v>1</v>
      </c>
    </row>
    <row r="91" spans="1:14">
      <c r="A91" s="1">
        <v>39580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  <c r="N91" s="3">
        <f t="shared" si="3"/>
        <v>1</v>
      </c>
    </row>
    <row r="92" spans="1:14">
      <c r="A92" s="1">
        <v>39581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  <c r="N92" s="3">
        <f t="shared" si="3"/>
        <v>1</v>
      </c>
    </row>
    <row r="93" spans="1:14">
      <c r="A93" s="1">
        <v>39582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  <c r="N93" s="3">
        <f t="shared" si="3"/>
        <v>1</v>
      </c>
    </row>
    <row r="94" spans="1:14">
      <c r="A94" s="1">
        <v>39583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  <c r="N94" s="3">
        <f t="shared" si="3"/>
        <v>1</v>
      </c>
    </row>
    <row r="95" spans="1:14">
      <c r="A95" s="1">
        <v>39584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  <c r="N95" s="3">
        <f t="shared" si="3"/>
        <v>1</v>
      </c>
    </row>
    <row r="96" spans="1:14">
      <c r="A96" s="1">
        <v>39587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  <c r="N96" s="3">
        <f t="shared" si="3"/>
        <v>1</v>
      </c>
    </row>
    <row r="97" spans="1:14">
      <c r="A97" s="1">
        <v>39588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  <c r="N97" s="3">
        <f t="shared" si="3"/>
        <v>1</v>
      </c>
    </row>
    <row r="98" spans="1:14">
      <c r="A98" s="1">
        <v>39589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  <c r="N98" s="3">
        <f t="shared" si="3"/>
        <v>1</v>
      </c>
    </row>
    <row r="99" spans="1:14">
      <c r="A99" s="1">
        <v>39591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  <c r="N99" s="3">
        <f t="shared" si="3"/>
        <v>1</v>
      </c>
    </row>
    <row r="100" spans="1:14">
      <c r="A100" s="1">
        <v>39594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  <c r="N100" s="3">
        <f t="shared" si="3"/>
        <v>1</v>
      </c>
    </row>
    <row r="101" spans="1:14">
      <c r="A101" s="1">
        <v>39595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  <c r="N101" s="3">
        <f t="shared" si="3"/>
        <v>1</v>
      </c>
    </row>
    <row r="102" spans="1:14">
      <c r="A102" s="1">
        <v>39596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  <c r="N102" s="3">
        <f t="shared" si="3"/>
        <v>1</v>
      </c>
    </row>
    <row r="103" spans="1:14">
      <c r="A103" s="1">
        <v>39597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  <c r="N103" s="3">
        <f t="shared" si="3"/>
        <v>1</v>
      </c>
    </row>
    <row r="104" spans="1:14">
      <c r="A104" s="1">
        <v>39598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  <c r="N104" s="3">
        <f t="shared" si="3"/>
        <v>1</v>
      </c>
    </row>
    <row r="105" spans="1:14">
      <c r="A105" s="1">
        <v>39601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  <c r="N105" s="3">
        <f t="shared" si="3"/>
        <v>1</v>
      </c>
    </row>
    <row r="106" spans="1:14">
      <c r="A106" s="1">
        <v>39602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  <c r="N106" s="3">
        <f t="shared" si="3"/>
        <v>1</v>
      </c>
    </row>
    <row r="107" spans="1:14">
      <c r="A107" s="1">
        <v>39603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  <c r="N107" s="3">
        <f t="shared" si="3"/>
        <v>1</v>
      </c>
    </row>
    <row r="108" spans="1:14">
      <c r="A108" s="1">
        <v>39604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  <c r="N108" s="3">
        <f t="shared" si="3"/>
        <v>1</v>
      </c>
    </row>
    <row r="109" spans="1:14">
      <c r="A109" s="1">
        <v>39605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  <c r="N109" s="3">
        <f t="shared" si="3"/>
        <v>1</v>
      </c>
    </row>
    <row r="110" spans="1:14">
      <c r="A110" s="1">
        <v>39608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  <c r="N110" s="3">
        <f t="shared" si="3"/>
        <v>1</v>
      </c>
    </row>
    <row r="111" spans="1:14">
      <c r="A111" s="1">
        <v>39609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  <c r="N111" s="3">
        <f t="shared" si="3"/>
        <v>1</v>
      </c>
    </row>
    <row r="112" spans="1:14">
      <c r="A112" s="1">
        <v>39610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  <c r="N112" s="3">
        <f t="shared" si="3"/>
        <v>1</v>
      </c>
    </row>
    <row r="113" spans="1:14">
      <c r="A113" s="1">
        <v>39611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  <c r="N113" s="3">
        <f t="shared" si="3"/>
        <v>1</v>
      </c>
    </row>
    <row r="114" spans="1:14">
      <c r="A114" s="1">
        <v>39612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  <c r="N114" s="3">
        <f t="shared" si="3"/>
        <v>1</v>
      </c>
    </row>
    <row r="115" spans="1:14">
      <c r="A115" s="1">
        <v>39615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  <c r="N115" s="3">
        <f t="shared" si="3"/>
        <v>1</v>
      </c>
    </row>
    <row r="116" spans="1:14">
      <c r="A116" s="1">
        <v>39616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  <c r="N116" s="3">
        <f t="shared" si="3"/>
        <v>1</v>
      </c>
    </row>
    <row r="117" spans="1:14">
      <c r="A117" s="1">
        <v>39617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  <c r="N117" s="3">
        <f t="shared" si="3"/>
        <v>1</v>
      </c>
    </row>
    <row r="118" spans="1:14">
      <c r="A118" s="1">
        <v>39618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  <c r="N118" s="3">
        <f t="shared" si="3"/>
        <v>1</v>
      </c>
    </row>
    <row r="119" spans="1:14">
      <c r="A119" s="1">
        <v>39619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  <c r="N119" s="3">
        <f t="shared" si="3"/>
        <v>1</v>
      </c>
    </row>
    <row r="120" spans="1:14">
      <c r="A120" s="1">
        <v>39622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  <c r="N120" s="3">
        <f t="shared" si="3"/>
        <v>1</v>
      </c>
    </row>
    <row r="121" spans="1:14">
      <c r="A121" s="1">
        <v>39623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  <c r="N121" s="3">
        <f t="shared" si="3"/>
        <v>1</v>
      </c>
    </row>
    <row r="122" spans="1:14">
      <c r="A122" s="1">
        <v>39624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  <c r="N122" s="3">
        <f t="shared" si="3"/>
        <v>1</v>
      </c>
    </row>
    <row r="123" spans="1:14">
      <c r="A123" s="1">
        <v>39625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  <c r="N123" s="3">
        <f t="shared" si="3"/>
        <v>1</v>
      </c>
    </row>
    <row r="124" spans="1:14">
      <c r="A124" s="1">
        <v>39626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  <c r="N124" s="3">
        <f t="shared" si="3"/>
        <v>1</v>
      </c>
    </row>
    <row r="125" spans="1:14">
      <c r="A125" s="1">
        <v>39629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  <c r="N125" s="3">
        <f t="shared" si="3"/>
        <v>1</v>
      </c>
    </row>
    <row r="126" spans="1:14">
      <c r="A126" s="1">
        <v>39630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  <c r="N126" s="3">
        <f t="shared" si="3"/>
        <v>1</v>
      </c>
    </row>
    <row r="127" spans="1:14">
      <c r="A127" s="1">
        <v>39631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  <c r="N127" s="3">
        <f t="shared" si="3"/>
        <v>1</v>
      </c>
    </row>
    <row r="128" spans="1:14">
      <c r="A128" s="1">
        <v>39632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  <c r="N128" s="3">
        <f t="shared" si="3"/>
        <v>1</v>
      </c>
    </row>
    <row r="129" spans="1:14">
      <c r="A129" s="1">
        <v>39633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  <c r="N129" s="3" t="str">
        <f t="shared" si="3"/>
        <v>NIE</v>
      </c>
    </row>
    <row r="130" spans="1:14">
      <c r="A130" s="1">
        <v>39636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  <c r="N130" s="3">
        <f t="shared" si="3"/>
        <v>1</v>
      </c>
    </row>
    <row r="131" spans="1:14">
      <c r="A131" s="1">
        <v>39637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  <c r="N131" s="3" t="str">
        <f t="shared" ref="N131:N194" si="4">IF(AND(B131&gt;33,C131&gt;33,D131&gt;33,E131&gt;33,F131&gt;33,G131&gt;33,H131&gt;33,I131&gt;33,J131&gt;33,K131&gt;33,L131&gt;33,M131&gt;33),1,"NIE")</f>
        <v>NIE</v>
      </c>
    </row>
    <row r="132" spans="1:14">
      <c r="A132" s="1">
        <v>39638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  <c r="N132" s="3">
        <f t="shared" si="4"/>
        <v>1</v>
      </c>
    </row>
    <row r="133" spans="1:14">
      <c r="A133" s="1">
        <v>39639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  <c r="N133" s="3" t="str">
        <f t="shared" si="4"/>
        <v>NIE</v>
      </c>
    </row>
    <row r="134" spans="1:14">
      <c r="A134" s="1">
        <v>39640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  <c r="N134" s="3" t="str">
        <f t="shared" si="4"/>
        <v>NIE</v>
      </c>
    </row>
    <row r="135" spans="1:14">
      <c r="A135" s="1">
        <v>39643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  <c r="N135" s="3" t="str">
        <f t="shared" si="4"/>
        <v>NIE</v>
      </c>
    </row>
    <row r="136" spans="1:14">
      <c r="A136" s="1">
        <v>39644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  <c r="N136" s="3" t="str">
        <f t="shared" si="4"/>
        <v>NIE</v>
      </c>
    </row>
    <row r="137" spans="1:14">
      <c r="A137" s="1">
        <v>39645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  <c r="N137" s="3" t="str">
        <f t="shared" si="4"/>
        <v>NIE</v>
      </c>
    </row>
    <row r="138" spans="1:14">
      <c r="A138" s="1">
        <v>39646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  <c r="N138" s="3" t="str">
        <f t="shared" si="4"/>
        <v>NIE</v>
      </c>
    </row>
    <row r="139" spans="1:14">
      <c r="A139" s="1">
        <v>39647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  <c r="N139" s="3" t="str">
        <f t="shared" si="4"/>
        <v>NIE</v>
      </c>
    </row>
    <row r="140" spans="1:14">
      <c r="A140" s="1">
        <v>39650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  <c r="N140" s="3" t="str">
        <f t="shared" si="4"/>
        <v>NIE</v>
      </c>
    </row>
    <row r="141" spans="1:14">
      <c r="A141" s="1">
        <v>39651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  <c r="N141" s="3" t="str">
        <f t="shared" si="4"/>
        <v>NIE</v>
      </c>
    </row>
    <row r="142" spans="1:14">
      <c r="A142" s="1">
        <v>39652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  <c r="N142" s="3">
        <f t="shared" si="4"/>
        <v>1</v>
      </c>
    </row>
    <row r="143" spans="1:14">
      <c r="A143" s="1">
        <v>39653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  <c r="N143" s="3" t="str">
        <f t="shared" si="4"/>
        <v>NIE</v>
      </c>
    </row>
    <row r="144" spans="1:14">
      <c r="A144" s="1">
        <v>39654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  <c r="N144" s="3" t="str">
        <f t="shared" si="4"/>
        <v>NIE</v>
      </c>
    </row>
    <row r="145" spans="1:14">
      <c r="A145" s="1">
        <v>39657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  <c r="N145" s="3" t="str">
        <f t="shared" si="4"/>
        <v>NIE</v>
      </c>
    </row>
    <row r="146" spans="1:14">
      <c r="A146" s="1">
        <v>39658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  <c r="N146" s="3" t="str">
        <f t="shared" si="4"/>
        <v>NIE</v>
      </c>
    </row>
    <row r="147" spans="1:14">
      <c r="A147" s="1">
        <v>39659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  <c r="N147" s="3">
        <f t="shared" si="4"/>
        <v>1</v>
      </c>
    </row>
    <row r="148" spans="1:14">
      <c r="A148" s="1">
        <v>39660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  <c r="N148" s="3">
        <f t="shared" si="4"/>
        <v>1</v>
      </c>
    </row>
    <row r="149" spans="1:14">
      <c r="A149" s="1">
        <v>39661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  <c r="N149" s="3">
        <f t="shared" si="4"/>
        <v>1</v>
      </c>
    </row>
    <row r="150" spans="1:14">
      <c r="A150" s="1">
        <v>39664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  <c r="N150" s="3">
        <f t="shared" si="4"/>
        <v>1</v>
      </c>
    </row>
    <row r="151" spans="1:14">
      <c r="A151" s="1">
        <v>39665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  <c r="N151" s="3">
        <f t="shared" si="4"/>
        <v>1</v>
      </c>
    </row>
    <row r="152" spans="1:14">
      <c r="A152" s="1">
        <v>39666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  <c r="N152" s="3">
        <f t="shared" si="4"/>
        <v>1</v>
      </c>
    </row>
    <row r="153" spans="1:14">
      <c r="A153" s="1">
        <v>39667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  <c r="N153" s="3">
        <f t="shared" si="4"/>
        <v>1</v>
      </c>
    </row>
    <row r="154" spans="1:14">
      <c r="A154" s="1">
        <v>39668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  <c r="N154" s="3">
        <f t="shared" si="4"/>
        <v>1</v>
      </c>
    </row>
    <row r="155" spans="1:14">
      <c r="A155" s="1">
        <v>39671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  <c r="N155" s="3">
        <f t="shared" si="4"/>
        <v>1</v>
      </c>
    </row>
    <row r="156" spans="1:14">
      <c r="A156" s="1">
        <v>39672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  <c r="N156" s="3">
        <f t="shared" si="4"/>
        <v>1</v>
      </c>
    </row>
    <row r="157" spans="1:14">
      <c r="A157" s="1">
        <v>39673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  <c r="N157" s="3">
        <f t="shared" si="4"/>
        <v>1</v>
      </c>
    </row>
    <row r="158" spans="1:14">
      <c r="A158" s="1">
        <v>39674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  <c r="N158" s="3">
        <f t="shared" si="4"/>
        <v>1</v>
      </c>
    </row>
    <row r="159" spans="1:14">
      <c r="A159" s="1">
        <v>39678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  <c r="N159" s="3">
        <f t="shared" si="4"/>
        <v>1</v>
      </c>
    </row>
    <row r="160" spans="1:14">
      <c r="A160" s="1">
        <v>39679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  <c r="N160" s="3">
        <f t="shared" si="4"/>
        <v>1</v>
      </c>
    </row>
    <row r="161" spans="1:14">
      <c r="A161" s="1">
        <v>39680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  <c r="N161" s="3">
        <f t="shared" si="4"/>
        <v>1</v>
      </c>
    </row>
    <row r="162" spans="1:14">
      <c r="A162" s="1">
        <v>39681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  <c r="N162" s="3" t="str">
        <f t="shared" si="4"/>
        <v>NIE</v>
      </c>
    </row>
    <row r="163" spans="1:14">
      <c r="A163" s="1">
        <v>39682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  <c r="N163" s="3">
        <f t="shared" si="4"/>
        <v>1</v>
      </c>
    </row>
    <row r="164" spans="1:14">
      <c r="A164" s="1">
        <v>39685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  <c r="N164" s="3">
        <f t="shared" si="4"/>
        <v>1</v>
      </c>
    </row>
    <row r="165" spans="1:14">
      <c r="A165" s="1">
        <v>39686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  <c r="N165" s="3">
        <f t="shared" si="4"/>
        <v>1</v>
      </c>
    </row>
    <row r="166" spans="1:14">
      <c r="A166" s="1">
        <v>39687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  <c r="N166" s="3" t="str">
        <f t="shared" si="4"/>
        <v>NIE</v>
      </c>
    </row>
    <row r="167" spans="1:14">
      <c r="A167" s="1">
        <v>39688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  <c r="N167" s="3">
        <f t="shared" si="4"/>
        <v>1</v>
      </c>
    </row>
    <row r="168" spans="1:14">
      <c r="A168" s="1">
        <v>39689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  <c r="N168" s="3">
        <f t="shared" si="4"/>
        <v>1</v>
      </c>
    </row>
    <row r="169" spans="1:14">
      <c r="A169" s="1">
        <v>39692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  <c r="N169" s="3">
        <f t="shared" si="4"/>
        <v>1</v>
      </c>
    </row>
    <row r="170" spans="1:14">
      <c r="A170" s="1">
        <v>39693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  <c r="N170" s="3">
        <f t="shared" si="4"/>
        <v>1</v>
      </c>
    </row>
    <row r="171" spans="1:14">
      <c r="A171" s="1">
        <v>39694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  <c r="N171" s="3">
        <f t="shared" si="4"/>
        <v>1</v>
      </c>
    </row>
    <row r="172" spans="1:14">
      <c r="A172" s="1">
        <v>39695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  <c r="N172" s="3">
        <f t="shared" si="4"/>
        <v>1</v>
      </c>
    </row>
    <row r="173" spans="1:14">
      <c r="A173" s="1">
        <v>39696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  <c r="N173" s="3">
        <f t="shared" si="4"/>
        <v>1</v>
      </c>
    </row>
    <row r="174" spans="1:14">
      <c r="A174" s="1">
        <v>39699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  <c r="N174" s="3">
        <f t="shared" si="4"/>
        <v>1</v>
      </c>
    </row>
    <row r="175" spans="1:14">
      <c r="A175" s="1">
        <v>39700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  <c r="N175" s="3">
        <f t="shared" si="4"/>
        <v>1</v>
      </c>
    </row>
    <row r="176" spans="1:14">
      <c r="A176" s="1">
        <v>39701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  <c r="N176" s="3">
        <f t="shared" si="4"/>
        <v>1</v>
      </c>
    </row>
    <row r="177" spans="1:14">
      <c r="A177" s="1">
        <v>39702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  <c r="N177" s="3" t="str">
        <f t="shared" si="4"/>
        <v>NIE</v>
      </c>
    </row>
    <row r="178" spans="1:14">
      <c r="A178" s="1">
        <v>39703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  <c r="N178" s="3" t="str">
        <f t="shared" si="4"/>
        <v>NIE</v>
      </c>
    </row>
    <row r="179" spans="1:14">
      <c r="A179" s="1">
        <v>39706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  <c r="N179" s="3" t="str">
        <f t="shared" si="4"/>
        <v>NIE</v>
      </c>
    </row>
    <row r="180" spans="1:14">
      <c r="A180" s="1">
        <v>39707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  <c r="N180" s="3" t="str">
        <f t="shared" si="4"/>
        <v>NIE</v>
      </c>
    </row>
    <row r="181" spans="1:14">
      <c r="A181" s="1">
        <v>39708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  <c r="N181" s="3" t="str">
        <f t="shared" si="4"/>
        <v>NIE</v>
      </c>
    </row>
    <row r="182" spans="1:14">
      <c r="A182" s="1">
        <v>39709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  <c r="N182" s="3" t="str">
        <f t="shared" si="4"/>
        <v>NIE</v>
      </c>
    </row>
    <row r="183" spans="1:14">
      <c r="A183" s="1">
        <v>39710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  <c r="N183" s="3" t="str">
        <f t="shared" si="4"/>
        <v>NIE</v>
      </c>
    </row>
    <row r="184" spans="1:14">
      <c r="A184" s="1">
        <v>39713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  <c r="N184" s="3" t="str">
        <f t="shared" si="4"/>
        <v>NIE</v>
      </c>
    </row>
    <row r="185" spans="1:14">
      <c r="A185" s="1">
        <v>39714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  <c r="N185" s="3" t="str">
        <f t="shared" si="4"/>
        <v>NIE</v>
      </c>
    </row>
    <row r="186" spans="1:14">
      <c r="A186" s="1">
        <v>39715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  <c r="N186" s="3" t="str">
        <f t="shared" si="4"/>
        <v>NIE</v>
      </c>
    </row>
    <row r="187" spans="1:14">
      <c r="A187" s="1">
        <v>39716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  <c r="N187" s="3" t="str">
        <f t="shared" si="4"/>
        <v>NIE</v>
      </c>
    </row>
    <row r="188" spans="1:14">
      <c r="A188" s="1">
        <v>39717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  <c r="N188" s="3" t="str">
        <f t="shared" si="4"/>
        <v>NIE</v>
      </c>
    </row>
    <row r="189" spans="1:14">
      <c r="A189" s="1">
        <v>39720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  <c r="N189" s="3" t="str">
        <f t="shared" si="4"/>
        <v>NIE</v>
      </c>
    </row>
    <row r="190" spans="1:14">
      <c r="A190" s="1">
        <v>39721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  <c r="N190" s="3" t="str">
        <f t="shared" si="4"/>
        <v>NIE</v>
      </c>
    </row>
    <row r="191" spans="1:14">
      <c r="A191" s="1">
        <v>39722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  <c r="N191" s="3" t="str">
        <f t="shared" si="4"/>
        <v>NIE</v>
      </c>
    </row>
    <row r="192" spans="1:14">
      <c r="A192" s="1">
        <v>39723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  <c r="N192" s="3" t="str">
        <f t="shared" si="4"/>
        <v>NIE</v>
      </c>
    </row>
    <row r="193" spans="1:14">
      <c r="A193" s="1">
        <v>39724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  <c r="N193" s="3" t="str">
        <f t="shared" si="4"/>
        <v>NIE</v>
      </c>
    </row>
    <row r="194" spans="1:14">
      <c r="A194" s="1">
        <v>39727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  <c r="N194" s="3" t="str">
        <f t="shared" si="4"/>
        <v>NIE</v>
      </c>
    </row>
    <row r="195" spans="1:14">
      <c r="A195" s="1">
        <v>39728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  <c r="N195" s="3" t="str">
        <f t="shared" ref="N195:N252" si="5">IF(AND(B195&gt;33,C195&gt;33,D195&gt;33,E195&gt;33,F195&gt;33,G195&gt;33,H195&gt;33,I195&gt;33,J195&gt;33,K195&gt;33,L195&gt;33,M195&gt;33),1,"NIE")</f>
        <v>NIE</v>
      </c>
    </row>
    <row r="196" spans="1:14">
      <c r="A196" s="1">
        <v>39729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  <c r="N196" s="3" t="str">
        <f t="shared" si="5"/>
        <v>NIE</v>
      </c>
    </row>
    <row r="197" spans="1:14">
      <c r="A197" s="1">
        <v>39730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  <c r="N197" s="3" t="str">
        <f t="shared" si="5"/>
        <v>NIE</v>
      </c>
    </row>
    <row r="198" spans="1:14">
      <c r="A198" s="1">
        <v>39731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  <c r="N198" s="3" t="str">
        <f t="shared" si="5"/>
        <v>NIE</v>
      </c>
    </row>
    <row r="199" spans="1:14">
      <c r="A199" s="1">
        <v>39734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  <c r="N199" s="3" t="str">
        <f t="shared" si="5"/>
        <v>NIE</v>
      </c>
    </row>
    <row r="200" spans="1:14">
      <c r="A200" s="1">
        <v>39735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  <c r="N200" s="3" t="str">
        <f t="shared" si="5"/>
        <v>NIE</v>
      </c>
    </row>
    <row r="201" spans="1:14">
      <c r="A201" s="1">
        <v>39736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  <c r="N201" s="3" t="str">
        <f t="shared" si="5"/>
        <v>NIE</v>
      </c>
    </row>
    <row r="202" spans="1:14">
      <c r="A202" s="1">
        <v>39737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  <c r="N202" s="3" t="str">
        <f t="shared" si="5"/>
        <v>NIE</v>
      </c>
    </row>
    <row r="203" spans="1:14">
      <c r="A203" s="1">
        <v>39738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  <c r="N203" s="3" t="str">
        <f t="shared" si="5"/>
        <v>NIE</v>
      </c>
    </row>
    <row r="204" spans="1:14">
      <c r="A204" s="1">
        <v>39741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  <c r="N204" s="3" t="str">
        <f t="shared" si="5"/>
        <v>NIE</v>
      </c>
    </row>
    <row r="205" spans="1:14">
      <c r="A205" s="1">
        <v>39742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  <c r="N205" s="3" t="str">
        <f t="shared" si="5"/>
        <v>NIE</v>
      </c>
    </row>
    <row r="206" spans="1:14">
      <c r="A206" s="1">
        <v>39743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  <c r="N206" s="3" t="str">
        <f t="shared" si="5"/>
        <v>NIE</v>
      </c>
    </row>
    <row r="207" spans="1:14">
      <c r="A207" s="1">
        <v>39744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  <c r="N207" s="3" t="str">
        <f t="shared" si="5"/>
        <v>NIE</v>
      </c>
    </row>
    <row r="208" spans="1:14">
      <c r="A208" s="1">
        <v>39745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  <c r="N208" s="3" t="str">
        <f t="shared" si="5"/>
        <v>NIE</v>
      </c>
    </row>
    <row r="209" spans="1:14">
      <c r="A209" s="1">
        <v>39748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  <c r="N209" s="3" t="str">
        <f t="shared" si="5"/>
        <v>NIE</v>
      </c>
    </row>
    <row r="210" spans="1:14">
      <c r="A210" s="1">
        <v>39749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  <c r="N210" s="3" t="str">
        <f t="shared" si="5"/>
        <v>NIE</v>
      </c>
    </row>
    <row r="211" spans="1:14">
      <c r="A211" s="1">
        <v>39750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  <c r="N211" s="3" t="str">
        <f t="shared" si="5"/>
        <v>NIE</v>
      </c>
    </row>
    <row r="212" spans="1:14">
      <c r="A212" s="1">
        <v>39751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  <c r="N212" s="3" t="str">
        <f t="shared" si="5"/>
        <v>NIE</v>
      </c>
    </row>
    <row r="213" spans="1:14">
      <c r="A213" s="1">
        <v>39752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  <c r="N213" s="3" t="str">
        <f t="shared" si="5"/>
        <v>NIE</v>
      </c>
    </row>
    <row r="214" spans="1:14">
      <c r="A214" s="1">
        <v>39755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  <c r="N214" s="3" t="str">
        <f t="shared" si="5"/>
        <v>NIE</v>
      </c>
    </row>
    <row r="215" spans="1:14">
      <c r="A215" s="1">
        <v>39756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  <c r="N215" s="3" t="str">
        <f t="shared" si="5"/>
        <v>NIE</v>
      </c>
    </row>
    <row r="216" spans="1:14">
      <c r="A216" s="1">
        <v>39757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  <c r="N216" s="3" t="str">
        <f t="shared" si="5"/>
        <v>NIE</v>
      </c>
    </row>
    <row r="217" spans="1:14">
      <c r="A217" s="1">
        <v>39758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  <c r="N217" s="3" t="str">
        <f t="shared" si="5"/>
        <v>NIE</v>
      </c>
    </row>
    <row r="218" spans="1:14">
      <c r="A218" s="1">
        <v>39759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  <c r="N218" s="3" t="str">
        <f t="shared" si="5"/>
        <v>NIE</v>
      </c>
    </row>
    <row r="219" spans="1:14">
      <c r="A219" s="1">
        <v>39762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  <c r="N219" s="3" t="str">
        <f t="shared" si="5"/>
        <v>NIE</v>
      </c>
    </row>
    <row r="220" spans="1:14">
      <c r="A220" s="1">
        <v>39764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  <c r="N220" s="3" t="str">
        <f t="shared" si="5"/>
        <v>NIE</v>
      </c>
    </row>
    <row r="221" spans="1:14">
      <c r="A221" s="1">
        <v>39765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  <c r="N221" s="3" t="str">
        <f t="shared" si="5"/>
        <v>NIE</v>
      </c>
    </row>
    <row r="222" spans="1:14">
      <c r="A222" s="1">
        <v>39766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  <c r="N222" s="3" t="str">
        <f t="shared" si="5"/>
        <v>NIE</v>
      </c>
    </row>
    <row r="223" spans="1:14">
      <c r="A223" s="1">
        <v>39769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  <c r="N223" s="3" t="str">
        <f t="shared" si="5"/>
        <v>NIE</v>
      </c>
    </row>
    <row r="224" spans="1:14">
      <c r="A224" s="1">
        <v>39770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  <c r="N224" s="3" t="str">
        <f t="shared" si="5"/>
        <v>NIE</v>
      </c>
    </row>
    <row r="225" spans="1:14">
      <c r="A225" s="1">
        <v>39771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  <c r="N225" s="3" t="str">
        <f t="shared" si="5"/>
        <v>NIE</v>
      </c>
    </row>
    <row r="226" spans="1:14">
      <c r="A226" s="1">
        <v>39772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  <c r="N226" s="3" t="str">
        <f t="shared" si="5"/>
        <v>NIE</v>
      </c>
    </row>
    <row r="227" spans="1:14">
      <c r="A227" s="1">
        <v>39773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  <c r="N227" s="3" t="str">
        <f t="shared" si="5"/>
        <v>NIE</v>
      </c>
    </row>
    <row r="228" spans="1:14">
      <c r="A228" s="1">
        <v>39776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  <c r="N228" s="3" t="str">
        <f t="shared" si="5"/>
        <v>NIE</v>
      </c>
    </row>
    <row r="229" spans="1:14">
      <c r="A229" s="1">
        <v>39777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  <c r="N229" s="3" t="str">
        <f t="shared" si="5"/>
        <v>NIE</v>
      </c>
    </row>
    <row r="230" spans="1:14">
      <c r="A230" s="1">
        <v>39778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  <c r="N230" s="3" t="str">
        <f t="shared" si="5"/>
        <v>NIE</v>
      </c>
    </row>
    <row r="231" spans="1:14">
      <c r="A231" s="1">
        <v>39779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  <c r="N231" s="3" t="str">
        <f t="shared" si="5"/>
        <v>NIE</v>
      </c>
    </row>
    <row r="232" spans="1:14">
      <c r="A232" s="1">
        <v>39780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  <c r="N232" s="3" t="str">
        <f t="shared" si="5"/>
        <v>NIE</v>
      </c>
    </row>
    <row r="233" spans="1:14">
      <c r="A233" s="1">
        <v>39783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  <c r="N233" s="3" t="str">
        <f t="shared" si="5"/>
        <v>NIE</v>
      </c>
    </row>
    <row r="234" spans="1:14">
      <c r="A234" s="1">
        <v>39784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  <c r="N234" s="3" t="str">
        <f t="shared" si="5"/>
        <v>NIE</v>
      </c>
    </row>
    <row r="235" spans="1:14">
      <c r="A235" s="1">
        <v>39785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  <c r="N235" s="3" t="str">
        <f t="shared" si="5"/>
        <v>NIE</v>
      </c>
    </row>
    <row r="236" spans="1:14">
      <c r="A236" s="1">
        <v>39786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  <c r="N236" s="3" t="str">
        <f t="shared" si="5"/>
        <v>NIE</v>
      </c>
    </row>
    <row r="237" spans="1:14">
      <c r="A237" s="1">
        <v>39787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  <c r="N237" s="3" t="str">
        <f t="shared" si="5"/>
        <v>NIE</v>
      </c>
    </row>
    <row r="238" spans="1:14">
      <c r="A238" s="1">
        <v>39790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  <c r="N238" s="3" t="str">
        <f t="shared" si="5"/>
        <v>NIE</v>
      </c>
    </row>
    <row r="239" spans="1:14">
      <c r="A239" s="1">
        <v>39791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  <c r="N239" s="3" t="str">
        <f t="shared" si="5"/>
        <v>NIE</v>
      </c>
    </row>
    <row r="240" spans="1:14">
      <c r="A240" s="1">
        <v>39792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  <c r="N240" s="3" t="str">
        <f t="shared" si="5"/>
        <v>NIE</v>
      </c>
    </row>
    <row r="241" spans="1:14">
      <c r="A241" s="1">
        <v>39793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  <c r="N241" s="3" t="str">
        <f t="shared" si="5"/>
        <v>NIE</v>
      </c>
    </row>
    <row r="242" spans="1:14">
      <c r="A242" s="1">
        <v>39794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  <c r="N242" s="3" t="str">
        <f t="shared" si="5"/>
        <v>NIE</v>
      </c>
    </row>
    <row r="243" spans="1:14">
      <c r="A243" s="1">
        <v>39797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  <c r="N243" s="3" t="str">
        <f t="shared" si="5"/>
        <v>NIE</v>
      </c>
    </row>
    <row r="244" spans="1:14">
      <c r="A244" s="1">
        <v>39798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  <c r="N244" s="3" t="str">
        <f t="shared" si="5"/>
        <v>NIE</v>
      </c>
    </row>
    <row r="245" spans="1:14">
      <c r="A245" s="1">
        <v>39799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  <c r="N245" s="3" t="str">
        <f t="shared" si="5"/>
        <v>NIE</v>
      </c>
    </row>
    <row r="246" spans="1:14">
      <c r="A246" s="1">
        <v>39800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  <c r="N246" s="3" t="str">
        <f t="shared" si="5"/>
        <v>NIE</v>
      </c>
    </row>
    <row r="247" spans="1:14">
      <c r="A247" s="1">
        <v>39801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  <c r="N247" s="3" t="str">
        <f t="shared" si="5"/>
        <v>NIE</v>
      </c>
    </row>
    <row r="248" spans="1:14">
      <c r="A248" s="1">
        <v>39804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  <c r="N248" s="3" t="str">
        <f t="shared" si="5"/>
        <v>NIE</v>
      </c>
    </row>
    <row r="249" spans="1:14">
      <c r="A249" s="1">
        <v>39805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  <c r="N249" s="3" t="str">
        <f t="shared" si="5"/>
        <v>NIE</v>
      </c>
    </row>
    <row r="250" spans="1:14">
      <c r="A250" s="1">
        <v>39811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  <c r="N250" s="3" t="str">
        <f t="shared" si="5"/>
        <v>NIE</v>
      </c>
    </row>
    <row r="251" spans="1:14">
      <c r="A251" s="1">
        <v>39812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  <c r="N251" s="3" t="str">
        <f t="shared" si="5"/>
        <v>NIE</v>
      </c>
    </row>
    <row r="252" spans="1:14">
      <c r="A252" s="1">
        <v>39813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  <c r="N252" s="3" t="str">
        <f t="shared" si="5"/>
        <v>NIE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Arkusz1</vt:lpstr>
      <vt:lpstr>Arkusz1!historia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2022-12-03T17:54:01Z</dcterms:created>
  <dcterms:modified xsi:type="dcterms:W3CDTF">2022-12-03T19:12:42Z</dcterms:modified>
</cp:coreProperties>
</file>