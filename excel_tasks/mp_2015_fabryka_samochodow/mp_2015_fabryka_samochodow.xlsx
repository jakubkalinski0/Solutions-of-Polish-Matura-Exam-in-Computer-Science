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8" windowWidth="22056" windowHeight="9552"/>
  </bookViews>
  <sheets>
    <sheet name="Arkusz1" sheetId="1" r:id="rId1"/>
    <sheet name="Arkusz2" sheetId="2" r:id="rId2"/>
    <sheet name="Arkusz3" sheetId="3" r:id="rId3"/>
  </sheets>
  <calcPr calcId="125725"/>
</workbook>
</file>

<file path=xl/calcChain.xml><?xml version="1.0" encoding="utf-8"?>
<calcChain xmlns="http://schemas.openxmlformats.org/spreadsheetml/2006/main">
  <c r="J3" i="1"/>
  <c r="I4"/>
  <c r="I3"/>
  <c r="H3"/>
  <c r="G9"/>
  <c r="G3"/>
  <c r="F5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J22" s="1"/>
  <c r="F4"/>
  <c r="E5"/>
  <c r="E6" s="1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I22" s="1"/>
  <c r="E4"/>
  <c r="P14" s="1"/>
  <c r="D5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H22" s="1"/>
  <c r="D4"/>
  <c r="H4" s="1"/>
  <c r="C5"/>
  <c r="C6" s="1"/>
  <c r="C7" s="1"/>
  <c r="C8" s="1"/>
  <c r="C9" s="1"/>
  <c r="C10" s="1"/>
  <c r="C11" s="1"/>
  <c r="C12" s="1"/>
  <c r="C13" s="1"/>
  <c r="C14" s="1"/>
  <c r="C15" s="1"/>
  <c r="C16" s="1"/>
  <c r="C17" s="1"/>
  <c r="C18" s="1"/>
  <c r="C19" s="1"/>
  <c r="C20" s="1"/>
  <c r="C21" s="1"/>
  <c r="C22" s="1"/>
  <c r="G22" s="1"/>
  <c r="C4"/>
  <c r="G4" s="1"/>
  <c r="Q14" l="1"/>
  <c r="G12"/>
  <c r="I21"/>
  <c r="I5"/>
  <c r="P18"/>
  <c r="I20"/>
  <c r="G13"/>
  <c r="P17"/>
  <c r="I8"/>
  <c r="G16"/>
  <c r="I9"/>
  <c r="N17"/>
  <c r="G17"/>
  <c r="I12"/>
  <c r="N16"/>
  <c r="O14"/>
  <c r="G20"/>
  <c r="I13"/>
  <c r="G21"/>
  <c r="G5"/>
  <c r="I16"/>
  <c r="J4"/>
  <c r="G8"/>
  <c r="I17"/>
  <c r="H20"/>
  <c r="H12"/>
  <c r="J20"/>
  <c r="J12"/>
  <c r="H21"/>
  <c r="H13"/>
  <c r="H5"/>
  <c r="J21"/>
  <c r="J13"/>
  <c r="J5"/>
  <c r="Q17"/>
  <c r="G14"/>
  <c r="G6"/>
  <c r="H14"/>
  <c r="H6"/>
  <c r="I14"/>
  <c r="I6"/>
  <c r="J14"/>
  <c r="J6"/>
  <c r="N14"/>
  <c r="O16"/>
  <c r="G15"/>
  <c r="G7"/>
  <c r="H15"/>
  <c r="H7"/>
  <c r="I15"/>
  <c r="I7"/>
  <c r="J15"/>
  <c r="J7"/>
  <c r="N18"/>
  <c r="P16"/>
  <c r="J8"/>
  <c r="Q16"/>
  <c r="O18"/>
  <c r="H16"/>
  <c r="H8"/>
  <c r="J16"/>
  <c r="H17"/>
  <c r="H9"/>
  <c r="J17"/>
  <c r="J9"/>
  <c r="O15"/>
  <c r="G18"/>
  <c r="G10"/>
  <c r="H18"/>
  <c r="H10"/>
  <c r="I18"/>
  <c r="I10"/>
  <c r="J18"/>
  <c r="J10"/>
  <c r="N15"/>
  <c r="P15"/>
  <c r="Q18"/>
  <c r="G19"/>
  <c r="G11"/>
  <c r="H19"/>
  <c r="H11"/>
  <c r="I19"/>
  <c r="I11"/>
  <c r="J19"/>
  <c r="J11"/>
  <c r="Q15"/>
  <c r="O17"/>
  <c r="F23"/>
  <c r="E23"/>
  <c r="D23"/>
  <c r="C23"/>
  <c r="E24" l="1"/>
  <c r="I23"/>
  <c r="D24"/>
  <c r="H23"/>
  <c r="C24"/>
  <c r="G23"/>
  <c r="F24"/>
  <c r="J23"/>
  <c r="C25" l="1"/>
  <c r="G24"/>
  <c r="E25"/>
  <c r="I24"/>
  <c r="F25"/>
  <c r="J24"/>
  <c r="D25"/>
  <c r="H24"/>
  <c r="C26" l="1"/>
  <c r="G25"/>
  <c r="D26"/>
  <c r="H25"/>
  <c r="E26"/>
  <c r="I25"/>
  <c r="F26"/>
  <c r="J25"/>
  <c r="E27" l="1"/>
  <c r="I26"/>
  <c r="P19"/>
  <c r="F27"/>
  <c r="J26"/>
  <c r="Q19"/>
  <c r="C27"/>
  <c r="G26"/>
  <c r="P8"/>
  <c r="D27"/>
  <c r="H26"/>
  <c r="N19"/>
  <c r="O19"/>
  <c r="D28" l="1"/>
  <c r="H27"/>
  <c r="E28"/>
  <c r="I27"/>
  <c r="F28"/>
  <c r="J27"/>
  <c r="C28"/>
  <c r="G27"/>
  <c r="D29" l="1"/>
  <c r="H28"/>
  <c r="C29"/>
  <c r="G28"/>
  <c r="E29"/>
  <c r="I28"/>
  <c r="F29"/>
  <c r="J28"/>
  <c r="C30" l="1"/>
  <c r="G29"/>
  <c r="D30"/>
  <c r="H29"/>
  <c r="E30"/>
  <c r="I29"/>
  <c r="F30"/>
  <c r="J29"/>
  <c r="C31" l="1"/>
  <c r="G30"/>
  <c r="D31"/>
  <c r="H30"/>
  <c r="O20"/>
  <c r="E31"/>
  <c r="I30"/>
  <c r="F31"/>
  <c r="J30"/>
  <c r="Q20"/>
  <c r="N20"/>
  <c r="P20"/>
  <c r="C32" l="1"/>
  <c r="G31"/>
  <c r="D32"/>
  <c r="H31"/>
  <c r="E32"/>
  <c r="I31"/>
  <c r="F32"/>
  <c r="J31"/>
  <c r="F33" l="1"/>
  <c r="J32"/>
  <c r="D33"/>
  <c r="H32"/>
  <c r="C33"/>
  <c r="G32"/>
  <c r="E33"/>
  <c r="I32"/>
  <c r="Q21" l="1"/>
  <c r="F34"/>
  <c r="J33"/>
  <c r="D34"/>
  <c r="H33"/>
  <c r="C34"/>
  <c r="G33"/>
  <c r="E34"/>
  <c r="I33"/>
  <c r="J34" l="1"/>
  <c r="N11" s="1"/>
  <c r="F35"/>
  <c r="F36" s="1"/>
  <c r="F37" s="1"/>
  <c r="F38" s="1"/>
  <c r="F39" s="1"/>
  <c r="F40" s="1"/>
  <c r="H34"/>
  <c r="N9" s="1"/>
  <c r="D35"/>
  <c r="D36" s="1"/>
  <c r="D37" s="1"/>
  <c r="D38" s="1"/>
  <c r="D39" s="1"/>
  <c r="D40" s="1"/>
  <c r="O21"/>
  <c r="G34"/>
  <c r="N8" s="1"/>
  <c r="C35"/>
  <c r="C36" s="1"/>
  <c r="C37" s="1"/>
  <c r="C38" s="1"/>
  <c r="C39" s="1"/>
  <c r="C40" s="1"/>
  <c r="N21"/>
  <c r="I34"/>
  <c r="N10" s="1"/>
  <c r="E35"/>
  <c r="E36" s="1"/>
  <c r="E37" s="1"/>
  <c r="E38" s="1"/>
  <c r="E39" s="1"/>
  <c r="E40" s="1"/>
  <c r="P21"/>
</calcChain>
</file>

<file path=xl/sharedStrings.xml><?xml version="1.0" encoding="utf-8"?>
<sst xmlns="http://schemas.openxmlformats.org/spreadsheetml/2006/main" count="36" uniqueCount="15">
  <si>
    <t>Rok</t>
  </si>
  <si>
    <t>Kwartał</t>
  </si>
  <si>
    <t>Dama</t>
  </si>
  <si>
    <t>Granta</t>
  </si>
  <si>
    <t>Dorkas</t>
  </si>
  <si>
    <t>Lodera</t>
  </si>
  <si>
    <t>Odp a</t>
  </si>
  <si>
    <t>Odp b</t>
  </si>
  <si>
    <t>Marka</t>
  </si>
  <si>
    <t>Liczba wyprodukowanych samochodów</t>
  </si>
  <si>
    <t>Czy więcej niż 300</t>
  </si>
  <si>
    <t>Odp c</t>
  </si>
  <si>
    <t>Ile kwartałów</t>
  </si>
  <si>
    <t>Odp d</t>
  </si>
  <si>
    <t>Ilość samochodów</t>
  </si>
</sst>
</file>

<file path=xl/styles.xml><?xml version="1.0" encoding="utf-8"?>
<styleSheet xmlns="http://schemas.openxmlformats.org/spreadsheetml/2006/main">
  <fonts count="1">
    <font>
      <sz val="11"/>
      <color theme="1"/>
      <name val="Czcionka tekstu podstawowego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l-PL"/>
  <c:chart>
    <c:title>
      <c:tx>
        <c:rich>
          <a:bodyPr/>
          <a:lstStyle/>
          <a:p>
            <a:pPr>
              <a:defRPr/>
            </a:pPr>
            <a:r>
              <a:rPr lang="pl-PL"/>
              <a:t>Wielkość produkcji każdej marki w latach</a:t>
            </a:r>
            <a:r>
              <a:rPr lang="pl-PL" baseline="0"/>
              <a:t> 2005-2012</a:t>
            </a:r>
            <a:endParaRPr lang="pl-PL"/>
          </a:p>
        </c:rich>
      </c:tx>
      <c:layout/>
    </c:title>
    <c:view3D>
      <c:perspective val="30"/>
    </c:view3D>
    <c:plotArea>
      <c:layout/>
      <c:bar3DChart>
        <c:barDir val="col"/>
        <c:grouping val="clustered"/>
        <c:ser>
          <c:idx val="1"/>
          <c:order val="0"/>
          <c:tx>
            <c:strRef>
              <c:f>Arkusz1!$N$13</c:f>
              <c:strCache>
                <c:ptCount val="1"/>
                <c:pt idx="0">
                  <c:v>Dama</c:v>
                </c:pt>
              </c:strCache>
            </c:strRef>
          </c:tx>
          <c:cat>
            <c:numRef>
              <c:f>Arkusz1!$M$14:$M$21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Arkusz1!$N$14:$N$21</c:f>
              <c:numCache>
                <c:formatCode>General</c:formatCode>
                <c:ptCount val="8"/>
                <c:pt idx="0">
                  <c:v>972</c:v>
                </c:pt>
                <c:pt idx="1">
                  <c:v>1042</c:v>
                </c:pt>
                <c:pt idx="2">
                  <c:v>1122</c:v>
                </c:pt>
                <c:pt idx="3">
                  <c:v>1203</c:v>
                </c:pt>
                <c:pt idx="4">
                  <c:v>1296</c:v>
                </c:pt>
                <c:pt idx="5">
                  <c:v>1332</c:v>
                </c:pt>
                <c:pt idx="6">
                  <c:v>1292</c:v>
                </c:pt>
                <c:pt idx="7">
                  <c:v>1228</c:v>
                </c:pt>
              </c:numCache>
            </c:numRef>
          </c:val>
        </c:ser>
        <c:ser>
          <c:idx val="2"/>
          <c:order val="1"/>
          <c:tx>
            <c:strRef>
              <c:f>Arkusz1!$O$13</c:f>
              <c:strCache>
                <c:ptCount val="1"/>
                <c:pt idx="0">
                  <c:v>Granta</c:v>
                </c:pt>
              </c:strCache>
            </c:strRef>
          </c:tx>
          <c:cat>
            <c:numRef>
              <c:f>Arkusz1!$M$14:$M$21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Arkusz1!$O$14:$O$21</c:f>
              <c:numCache>
                <c:formatCode>General</c:formatCode>
                <c:ptCount val="8"/>
                <c:pt idx="0">
                  <c:v>822</c:v>
                </c:pt>
                <c:pt idx="1">
                  <c:v>905</c:v>
                </c:pt>
                <c:pt idx="2">
                  <c:v>1000</c:v>
                </c:pt>
                <c:pt idx="3">
                  <c:v>1102</c:v>
                </c:pt>
                <c:pt idx="4">
                  <c:v>1217</c:v>
                </c:pt>
                <c:pt idx="5">
                  <c:v>1264</c:v>
                </c:pt>
                <c:pt idx="6">
                  <c:v>1224</c:v>
                </c:pt>
                <c:pt idx="7">
                  <c:v>1160</c:v>
                </c:pt>
              </c:numCache>
            </c:numRef>
          </c:val>
        </c:ser>
        <c:ser>
          <c:idx val="3"/>
          <c:order val="2"/>
          <c:tx>
            <c:strRef>
              <c:f>Arkusz1!$P$13</c:f>
              <c:strCache>
                <c:ptCount val="1"/>
                <c:pt idx="0">
                  <c:v>Dorkas</c:v>
                </c:pt>
              </c:strCache>
            </c:strRef>
          </c:tx>
          <c:cat>
            <c:numRef>
              <c:f>Arkusz1!$M$14:$M$21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Arkusz1!$P$14:$P$21</c:f>
              <c:numCache>
                <c:formatCode>General</c:formatCode>
                <c:ptCount val="8"/>
                <c:pt idx="0">
                  <c:v>864</c:v>
                </c:pt>
                <c:pt idx="1">
                  <c:v>963</c:v>
                </c:pt>
                <c:pt idx="2">
                  <c:v>1075</c:v>
                </c:pt>
                <c:pt idx="3">
                  <c:v>1201</c:v>
                </c:pt>
                <c:pt idx="4">
                  <c:v>1343</c:v>
                </c:pt>
                <c:pt idx="5">
                  <c:v>1400</c:v>
                </c:pt>
                <c:pt idx="6">
                  <c:v>1330</c:v>
                </c:pt>
                <c:pt idx="7">
                  <c:v>1224</c:v>
                </c:pt>
              </c:numCache>
            </c:numRef>
          </c:val>
        </c:ser>
        <c:ser>
          <c:idx val="4"/>
          <c:order val="3"/>
          <c:tx>
            <c:strRef>
              <c:f>Arkusz1!$Q$13</c:f>
              <c:strCache>
                <c:ptCount val="1"/>
                <c:pt idx="0">
                  <c:v>Lodera</c:v>
                </c:pt>
              </c:strCache>
            </c:strRef>
          </c:tx>
          <c:cat>
            <c:numRef>
              <c:f>Arkusz1!$M$14:$M$21</c:f>
              <c:numCache>
                <c:formatCode>General</c:formatCode>
                <c:ptCount val="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</c:numCache>
            </c:numRef>
          </c:cat>
          <c:val>
            <c:numRef>
              <c:f>Arkusz1!$Q$14:$Q$21</c:f>
              <c:numCache>
                <c:formatCode>General</c:formatCode>
                <c:ptCount val="8"/>
                <c:pt idx="0">
                  <c:v>1284</c:v>
                </c:pt>
                <c:pt idx="1">
                  <c:v>1380</c:v>
                </c:pt>
                <c:pt idx="2">
                  <c:v>1486</c:v>
                </c:pt>
                <c:pt idx="3">
                  <c:v>1599</c:v>
                </c:pt>
                <c:pt idx="4">
                  <c:v>1724</c:v>
                </c:pt>
                <c:pt idx="5">
                  <c:v>1772</c:v>
                </c:pt>
                <c:pt idx="6">
                  <c:v>1658</c:v>
                </c:pt>
                <c:pt idx="7">
                  <c:v>1492</c:v>
                </c:pt>
              </c:numCache>
            </c:numRef>
          </c:val>
        </c:ser>
        <c:dLbls>
          <c:showVal val="1"/>
        </c:dLbls>
        <c:shape val="box"/>
        <c:axId val="63878656"/>
        <c:axId val="63880576"/>
        <c:axId val="0"/>
      </c:bar3DChart>
      <c:catAx>
        <c:axId val="638786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l-PL"/>
                  <a:t>Rok</a:t>
                </a:r>
              </a:p>
            </c:rich>
          </c:tx>
          <c:layout/>
        </c:title>
        <c:numFmt formatCode="General" sourceLinked="1"/>
        <c:tickLblPos val="nextTo"/>
        <c:crossAx val="63880576"/>
        <c:crosses val="autoZero"/>
        <c:auto val="1"/>
        <c:lblAlgn val="ctr"/>
        <c:lblOffset val="100"/>
      </c:catAx>
      <c:valAx>
        <c:axId val="63880576"/>
        <c:scaling>
          <c:orientation val="minMax"/>
        </c:scaling>
        <c:axPos val="l"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l-PL"/>
                  <a:t>Liczba wyprodukowanych samochodów</a:t>
                </a:r>
              </a:p>
            </c:rich>
          </c:tx>
          <c:layout/>
        </c:title>
        <c:numFmt formatCode="General" sourceLinked="1"/>
        <c:tickLblPos val="nextTo"/>
        <c:crossAx val="63878656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30480</xdr:colOff>
      <xdr:row>22</xdr:row>
      <xdr:rowOff>22860</xdr:rowOff>
    </xdr:from>
    <xdr:to>
      <xdr:col>24</xdr:col>
      <xdr:colOff>601980</xdr:colOff>
      <xdr:row>44</xdr:row>
      <xdr:rowOff>121920</xdr:rowOff>
    </xdr:to>
    <xdr:graphicFrame macro="">
      <xdr:nvGraphicFramePr>
        <xdr:cNvPr id="4" name="Wykres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zoomScale="70" zoomScaleNormal="70" workbookViewId="0">
      <selection activeCell="X13" sqref="X13"/>
    </sheetView>
  </sheetViews>
  <sheetFormatPr defaultRowHeight="13.8"/>
  <cols>
    <col min="1" max="1" width="4.8984375" bestFit="1" customWidth="1"/>
    <col min="2" max="2" width="6.8984375" bestFit="1" customWidth="1"/>
    <col min="3" max="3" width="5.59765625" bestFit="1" customWidth="1"/>
    <col min="4" max="4" width="6.3984375" bestFit="1" customWidth="1"/>
    <col min="5" max="5" width="6.59765625" bestFit="1" customWidth="1"/>
    <col min="6" max="6" width="6.5" bestFit="1" customWidth="1"/>
    <col min="7" max="7" width="15.69921875" bestFit="1" customWidth="1"/>
    <col min="8" max="8" width="6.3984375" bestFit="1" customWidth="1"/>
    <col min="9" max="9" width="6.59765625" bestFit="1" customWidth="1"/>
    <col min="10" max="10" width="6.5" bestFit="1" customWidth="1"/>
    <col min="13" max="13" width="6.59765625" bestFit="1" customWidth="1"/>
    <col min="14" max="14" width="11.19921875" bestFit="1" customWidth="1"/>
    <col min="15" max="15" width="6.59765625" bestFit="1" customWidth="1"/>
    <col min="16" max="16" width="15.59765625" bestFit="1" customWidth="1"/>
    <col min="17" max="17" width="6.5" bestFit="1" customWidth="1"/>
    <col min="18" max="18" width="32.796875" bestFit="1" customWidth="1"/>
    <col min="19" max="19" width="6.5" bestFit="1" customWidth="1"/>
  </cols>
  <sheetData>
    <row r="1" spans="1:19">
      <c r="G1" t="s">
        <v>10</v>
      </c>
      <c r="M1" s="1" t="s">
        <v>6</v>
      </c>
      <c r="R1" s="2" t="s">
        <v>7</v>
      </c>
    </row>
    <row r="2" spans="1:19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</v>
      </c>
      <c r="H2" t="s">
        <v>3</v>
      </c>
      <c r="I2" t="s">
        <v>4</v>
      </c>
      <c r="J2" t="s">
        <v>5</v>
      </c>
      <c r="M2" s="1" t="s">
        <v>2</v>
      </c>
      <c r="N2" s="1" t="s">
        <v>3</v>
      </c>
      <c r="O2" s="1" t="s">
        <v>4</v>
      </c>
      <c r="P2" s="1" t="s">
        <v>5</v>
      </c>
      <c r="R2" s="2" t="s">
        <v>8</v>
      </c>
      <c r="S2" s="2" t="s">
        <v>5</v>
      </c>
    </row>
    <row r="3" spans="1:19">
      <c r="A3">
        <v>2005</v>
      </c>
      <c r="B3">
        <v>1</v>
      </c>
      <c r="C3">
        <v>237</v>
      </c>
      <c r="D3">
        <v>198</v>
      </c>
      <c r="E3">
        <v>207</v>
      </c>
      <c r="F3">
        <v>312</v>
      </c>
      <c r="G3" t="str">
        <f>IF(C3&gt;300,1,"NIE")</f>
        <v>NIE</v>
      </c>
      <c r="H3" t="str">
        <f>IF(D3&gt;300,1,"NIE")</f>
        <v>NIE</v>
      </c>
      <c r="I3" t="str">
        <f>IF(E3&gt;300,1,"NIE")</f>
        <v>NIE</v>
      </c>
      <c r="J3">
        <f>IF(F3&gt;300,1,"NIE")</f>
        <v>1</v>
      </c>
      <c r="M3" s="1">
        <v>317</v>
      </c>
      <c r="N3" s="1">
        <v>300</v>
      </c>
      <c r="O3" s="1">
        <v>322</v>
      </c>
      <c r="P3" s="1">
        <v>398</v>
      </c>
      <c r="R3" s="2" t="s">
        <v>9</v>
      </c>
      <c r="S3" s="2">
        <v>305</v>
      </c>
    </row>
    <row r="4" spans="1:19">
      <c r="A4">
        <v>2005</v>
      </c>
      <c r="B4">
        <v>2</v>
      </c>
      <c r="C4">
        <f>INT(C3*102%)</f>
        <v>241</v>
      </c>
      <c r="D4">
        <f>INT(D3*102.7%)</f>
        <v>203</v>
      </c>
      <c r="E4">
        <f>INT(E3*103%)</f>
        <v>213</v>
      </c>
      <c r="F4">
        <f>INT(F3*102%)</f>
        <v>318</v>
      </c>
      <c r="G4" t="str">
        <f t="shared" ref="G4:G34" si="0">IF(C4&gt;300,1,"NIE")</f>
        <v>NIE</v>
      </c>
      <c r="H4" t="str">
        <f t="shared" ref="H4:H34" si="1">IF(D4&gt;300,1,"NIE")</f>
        <v>NIE</v>
      </c>
      <c r="I4" t="str">
        <f t="shared" ref="I4:I34" si="2">IF(E4&gt;300,1,"NIE")</f>
        <v>NIE</v>
      </c>
      <c r="J4">
        <f t="shared" ref="J4:J34" si="3">IF(F4&gt;300,1,"NIE")</f>
        <v>1</v>
      </c>
      <c r="R4" s="2" t="s">
        <v>0</v>
      </c>
      <c r="S4" s="2">
        <v>2014</v>
      </c>
    </row>
    <row r="5" spans="1:19">
      <c r="A5">
        <v>2005</v>
      </c>
      <c r="B5">
        <v>3</v>
      </c>
      <c r="C5">
        <f t="shared" ref="C5:C22" si="4">INT(C4*102%)</f>
        <v>245</v>
      </c>
      <c r="D5">
        <f t="shared" ref="D5:D22" si="5">INT(D4*102.7%)</f>
        <v>208</v>
      </c>
      <c r="E5">
        <f t="shared" ref="E5:E22" si="6">INT(E4*103%)</f>
        <v>219</v>
      </c>
      <c r="F5">
        <f t="shared" ref="F5:F22" si="7">INT(F4*102%)</f>
        <v>324</v>
      </c>
      <c r="G5" t="str">
        <f t="shared" si="0"/>
        <v>NIE</v>
      </c>
      <c r="H5" t="str">
        <f t="shared" si="1"/>
        <v>NIE</v>
      </c>
      <c r="I5" t="str">
        <f t="shared" si="2"/>
        <v>NIE</v>
      </c>
      <c r="J5">
        <f t="shared" si="3"/>
        <v>1</v>
      </c>
      <c r="R5" s="2" t="s">
        <v>1</v>
      </c>
      <c r="S5" s="2">
        <v>2</v>
      </c>
    </row>
    <row r="6" spans="1:19">
      <c r="A6">
        <v>2005</v>
      </c>
      <c r="B6">
        <v>4</v>
      </c>
      <c r="C6">
        <f t="shared" si="4"/>
        <v>249</v>
      </c>
      <c r="D6">
        <f t="shared" si="5"/>
        <v>213</v>
      </c>
      <c r="E6">
        <f t="shared" si="6"/>
        <v>225</v>
      </c>
      <c r="F6">
        <f t="shared" si="7"/>
        <v>330</v>
      </c>
      <c r="G6" t="str">
        <f t="shared" si="0"/>
        <v>NIE</v>
      </c>
      <c r="H6" t="str">
        <f t="shared" si="1"/>
        <v>NIE</v>
      </c>
      <c r="I6" t="str">
        <f t="shared" si="2"/>
        <v>NIE</v>
      </c>
      <c r="J6">
        <f t="shared" si="3"/>
        <v>1</v>
      </c>
      <c r="M6" s="3" t="s">
        <v>11</v>
      </c>
      <c r="P6" s="4" t="s">
        <v>13</v>
      </c>
    </row>
    <row r="7" spans="1:19">
      <c r="A7">
        <v>2006</v>
      </c>
      <c r="B7">
        <v>1</v>
      </c>
      <c r="C7">
        <f t="shared" si="4"/>
        <v>253</v>
      </c>
      <c r="D7">
        <f t="shared" si="5"/>
        <v>218</v>
      </c>
      <c r="E7">
        <f t="shared" si="6"/>
        <v>231</v>
      </c>
      <c r="F7">
        <f t="shared" si="7"/>
        <v>336</v>
      </c>
      <c r="G7" t="str">
        <f t="shared" si="0"/>
        <v>NIE</v>
      </c>
      <c r="H7" t="str">
        <f t="shared" si="1"/>
        <v>NIE</v>
      </c>
      <c r="I7" t="str">
        <f t="shared" si="2"/>
        <v>NIE</v>
      </c>
      <c r="J7">
        <f t="shared" si="3"/>
        <v>1</v>
      </c>
      <c r="M7" s="3" t="s">
        <v>8</v>
      </c>
      <c r="N7" s="3" t="s">
        <v>12</v>
      </c>
      <c r="P7" s="4" t="s">
        <v>14</v>
      </c>
    </row>
    <row r="8" spans="1:19">
      <c r="A8">
        <v>2006</v>
      </c>
      <c r="B8">
        <v>2</v>
      </c>
      <c r="C8">
        <f t="shared" si="4"/>
        <v>258</v>
      </c>
      <c r="D8">
        <f t="shared" si="5"/>
        <v>223</v>
      </c>
      <c r="E8">
        <f t="shared" si="6"/>
        <v>237</v>
      </c>
      <c r="F8">
        <f t="shared" si="7"/>
        <v>342</v>
      </c>
      <c r="G8" t="str">
        <f t="shared" si="0"/>
        <v>NIE</v>
      </c>
      <c r="H8" t="str">
        <f t="shared" si="1"/>
        <v>NIE</v>
      </c>
      <c r="I8" t="str">
        <f t="shared" si="2"/>
        <v>NIE</v>
      </c>
      <c r="J8">
        <f t="shared" si="3"/>
        <v>1</v>
      </c>
      <c r="M8" s="3" t="s">
        <v>2</v>
      </c>
      <c r="N8" s="3">
        <f>SUM(G3:G34)</f>
        <v>18</v>
      </c>
      <c r="P8" s="4">
        <f>SUM(C3:F26)</f>
        <v>29368</v>
      </c>
    </row>
    <row r="9" spans="1:19">
      <c r="A9">
        <v>2006</v>
      </c>
      <c r="B9">
        <v>3</v>
      </c>
      <c r="C9">
        <f t="shared" si="4"/>
        <v>263</v>
      </c>
      <c r="D9">
        <f t="shared" si="5"/>
        <v>229</v>
      </c>
      <c r="E9">
        <f t="shared" si="6"/>
        <v>244</v>
      </c>
      <c r="F9">
        <f t="shared" si="7"/>
        <v>348</v>
      </c>
      <c r="G9" t="str">
        <f t="shared" si="0"/>
        <v>NIE</v>
      </c>
      <c r="H9" t="str">
        <f t="shared" si="1"/>
        <v>NIE</v>
      </c>
      <c r="I9" t="str">
        <f t="shared" si="2"/>
        <v>NIE</v>
      </c>
      <c r="J9">
        <f t="shared" si="3"/>
        <v>1</v>
      </c>
      <c r="M9" s="3" t="s">
        <v>3</v>
      </c>
      <c r="N9" s="3">
        <f>SUM(H3:H34)</f>
        <v>9</v>
      </c>
    </row>
    <row r="10" spans="1:19">
      <c r="A10">
        <v>2006</v>
      </c>
      <c r="B10">
        <v>4</v>
      </c>
      <c r="C10">
        <f t="shared" si="4"/>
        <v>268</v>
      </c>
      <c r="D10">
        <f t="shared" si="5"/>
        <v>235</v>
      </c>
      <c r="E10">
        <f t="shared" si="6"/>
        <v>251</v>
      </c>
      <c r="F10">
        <f t="shared" si="7"/>
        <v>354</v>
      </c>
      <c r="G10" t="str">
        <f t="shared" si="0"/>
        <v>NIE</v>
      </c>
      <c r="H10" t="str">
        <f t="shared" si="1"/>
        <v>NIE</v>
      </c>
      <c r="I10" t="str">
        <f t="shared" si="2"/>
        <v>NIE</v>
      </c>
      <c r="J10">
        <f t="shared" si="3"/>
        <v>1</v>
      </c>
      <c r="M10" s="3" t="s">
        <v>4</v>
      </c>
      <c r="N10" s="3">
        <f>SUM(I3:I34)</f>
        <v>17</v>
      </c>
    </row>
    <row r="11" spans="1:19">
      <c r="A11">
        <v>2007</v>
      </c>
      <c r="B11">
        <v>1</v>
      </c>
      <c r="C11">
        <f t="shared" si="4"/>
        <v>273</v>
      </c>
      <c r="D11">
        <f t="shared" si="5"/>
        <v>241</v>
      </c>
      <c r="E11">
        <f t="shared" si="6"/>
        <v>258</v>
      </c>
      <c r="F11">
        <f t="shared" si="7"/>
        <v>361</v>
      </c>
      <c r="G11" t="str">
        <f t="shared" si="0"/>
        <v>NIE</v>
      </c>
      <c r="H11" t="str">
        <f t="shared" si="1"/>
        <v>NIE</v>
      </c>
      <c r="I11" t="str">
        <f t="shared" si="2"/>
        <v>NIE</v>
      </c>
      <c r="J11">
        <f t="shared" si="3"/>
        <v>1</v>
      </c>
      <c r="M11" s="3" t="s">
        <v>5</v>
      </c>
      <c r="N11" s="3">
        <f>SUM(J3:J34)</f>
        <v>32</v>
      </c>
    </row>
    <row r="12" spans="1:19">
      <c r="A12">
        <v>2007</v>
      </c>
      <c r="B12">
        <v>2</v>
      </c>
      <c r="C12">
        <f t="shared" si="4"/>
        <v>278</v>
      </c>
      <c r="D12">
        <f t="shared" si="5"/>
        <v>247</v>
      </c>
      <c r="E12">
        <f t="shared" si="6"/>
        <v>265</v>
      </c>
      <c r="F12">
        <f t="shared" si="7"/>
        <v>368</v>
      </c>
      <c r="G12" t="str">
        <f t="shared" si="0"/>
        <v>NIE</v>
      </c>
      <c r="H12" t="str">
        <f t="shared" si="1"/>
        <v>NIE</v>
      </c>
      <c r="I12" t="str">
        <f t="shared" si="2"/>
        <v>NIE</v>
      </c>
      <c r="J12">
        <f t="shared" si="3"/>
        <v>1</v>
      </c>
    </row>
    <row r="13" spans="1:19">
      <c r="A13">
        <v>2007</v>
      </c>
      <c r="B13">
        <v>3</v>
      </c>
      <c r="C13">
        <f t="shared" si="4"/>
        <v>283</v>
      </c>
      <c r="D13">
        <f t="shared" si="5"/>
        <v>253</v>
      </c>
      <c r="E13">
        <f t="shared" si="6"/>
        <v>272</v>
      </c>
      <c r="F13">
        <f t="shared" si="7"/>
        <v>375</v>
      </c>
      <c r="G13" t="str">
        <f t="shared" si="0"/>
        <v>NIE</v>
      </c>
      <c r="H13" t="str">
        <f t="shared" si="1"/>
        <v>NIE</v>
      </c>
      <c r="I13" t="str">
        <f t="shared" si="2"/>
        <v>NIE</v>
      </c>
      <c r="J13">
        <f t="shared" si="3"/>
        <v>1</v>
      </c>
      <c r="M13" s="5" t="s">
        <v>0</v>
      </c>
      <c r="N13" s="5" t="s">
        <v>2</v>
      </c>
      <c r="O13" s="5" t="s">
        <v>3</v>
      </c>
      <c r="P13" s="5" t="s">
        <v>4</v>
      </c>
      <c r="Q13" s="5" t="s">
        <v>5</v>
      </c>
    </row>
    <row r="14" spans="1:19">
      <c r="A14">
        <v>2007</v>
      </c>
      <c r="B14">
        <v>4</v>
      </c>
      <c r="C14">
        <f t="shared" si="4"/>
        <v>288</v>
      </c>
      <c r="D14">
        <f t="shared" si="5"/>
        <v>259</v>
      </c>
      <c r="E14">
        <f t="shared" si="6"/>
        <v>280</v>
      </c>
      <c r="F14">
        <f t="shared" si="7"/>
        <v>382</v>
      </c>
      <c r="G14" t="str">
        <f t="shared" si="0"/>
        <v>NIE</v>
      </c>
      <c r="H14" t="str">
        <f t="shared" si="1"/>
        <v>NIE</v>
      </c>
      <c r="I14" t="str">
        <f t="shared" si="2"/>
        <v>NIE</v>
      </c>
      <c r="J14">
        <f t="shared" si="3"/>
        <v>1</v>
      </c>
      <c r="M14" s="5">
        <v>2005</v>
      </c>
      <c r="N14" s="5">
        <f>SUM(C3:C6)</f>
        <v>972</v>
      </c>
      <c r="O14" s="5">
        <f>SUM(D3:D6)</f>
        <v>822</v>
      </c>
      <c r="P14" s="5">
        <f>SUM(E3:E6)</f>
        <v>864</v>
      </c>
      <c r="Q14" s="5">
        <f>SUM(F3:F6)</f>
        <v>1284</v>
      </c>
    </row>
    <row r="15" spans="1:19">
      <c r="A15">
        <v>2008</v>
      </c>
      <c r="B15">
        <v>1</v>
      </c>
      <c r="C15">
        <f t="shared" si="4"/>
        <v>293</v>
      </c>
      <c r="D15">
        <f t="shared" si="5"/>
        <v>265</v>
      </c>
      <c r="E15">
        <f t="shared" si="6"/>
        <v>288</v>
      </c>
      <c r="F15">
        <f t="shared" si="7"/>
        <v>389</v>
      </c>
      <c r="G15" t="str">
        <f t="shared" si="0"/>
        <v>NIE</v>
      </c>
      <c r="H15" t="str">
        <f t="shared" si="1"/>
        <v>NIE</v>
      </c>
      <c r="I15" t="str">
        <f t="shared" si="2"/>
        <v>NIE</v>
      </c>
      <c r="J15">
        <f t="shared" si="3"/>
        <v>1</v>
      </c>
      <c r="M15" s="5">
        <v>2006</v>
      </c>
      <c r="N15" s="5">
        <f>SUM(C7:C10)</f>
        <v>1042</v>
      </c>
      <c r="O15" s="5">
        <f>SUM(D7:D10)</f>
        <v>905</v>
      </c>
      <c r="P15" s="5">
        <f>SUM(E7:E10)</f>
        <v>963</v>
      </c>
      <c r="Q15" s="5">
        <f>SUM(F7:F10)</f>
        <v>1380</v>
      </c>
    </row>
    <row r="16" spans="1:19">
      <c r="A16">
        <v>2008</v>
      </c>
      <c r="B16">
        <v>2</v>
      </c>
      <c r="C16">
        <f t="shared" si="4"/>
        <v>298</v>
      </c>
      <c r="D16">
        <f t="shared" si="5"/>
        <v>272</v>
      </c>
      <c r="E16">
        <f t="shared" si="6"/>
        <v>296</v>
      </c>
      <c r="F16">
        <f t="shared" si="7"/>
        <v>396</v>
      </c>
      <c r="G16" t="str">
        <f t="shared" si="0"/>
        <v>NIE</v>
      </c>
      <c r="H16" t="str">
        <f t="shared" si="1"/>
        <v>NIE</v>
      </c>
      <c r="I16" t="str">
        <f t="shared" si="2"/>
        <v>NIE</v>
      </c>
      <c r="J16">
        <f t="shared" si="3"/>
        <v>1</v>
      </c>
      <c r="M16" s="5">
        <v>2007</v>
      </c>
      <c r="N16" s="5">
        <f>SUM(C11:C14)</f>
        <v>1122</v>
      </c>
      <c r="O16" s="5">
        <f>SUM(D11:D14)</f>
        <v>1000</v>
      </c>
      <c r="P16" s="5">
        <f>SUM(E11:E14)</f>
        <v>1075</v>
      </c>
      <c r="Q16" s="5">
        <f>SUM(F11:F14)</f>
        <v>1486</v>
      </c>
    </row>
    <row r="17" spans="1:17">
      <c r="A17">
        <v>2008</v>
      </c>
      <c r="B17">
        <v>3</v>
      </c>
      <c r="C17">
        <f t="shared" si="4"/>
        <v>303</v>
      </c>
      <c r="D17">
        <f t="shared" si="5"/>
        <v>279</v>
      </c>
      <c r="E17">
        <f t="shared" si="6"/>
        <v>304</v>
      </c>
      <c r="F17">
        <f t="shared" si="7"/>
        <v>403</v>
      </c>
      <c r="G17">
        <f t="shared" si="0"/>
        <v>1</v>
      </c>
      <c r="H17" t="str">
        <f t="shared" si="1"/>
        <v>NIE</v>
      </c>
      <c r="I17">
        <f t="shared" si="2"/>
        <v>1</v>
      </c>
      <c r="J17">
        <f t="shared" si="3"/>
        <v>1</v>
      </c>
      <c r="M17" s="5">
        <v>2008</v>
      </c>
      <c r="N17" s="5">
        <f>SUM(C15:C18)</f>
        <v>1203</v>
      </c>
      <c r="O17" s="5">
        <f>SUM(D15:D18)</f>
        <v>1102</v>
      </c>
      <c r="P17" s="5">
        <f>SUM(E15:E18)</f>
        <v>1201</v>
      </c>
      <c r="Q17" s="5">
        <f>SUM(F15:F18)</f>
        <v>1599</v>
      </c>
    </row>
    <row r="18" spans="1:17">
      <c r="A18">
        <v>2008</v>
      </c>
      <c r="B18">
        <v>4</v>
      </c>
      <c r="C18">
        <f t="shared" si="4"/>
        <v>309</v>
      </c>
      <c r="D18">
        <f t="shared" si="5"/>
        <v>286</v>
      </c>
      <c r="E18">
        <f t="shared" si="6"/>
        <v>313</v>
      </c>
      <c r="F18">
        <f t="shared" si="7"/>
        <v>411</v>
      </c>
      <c r="G18">
        <f t="shared" si="0"/>
        <v>1</v>
      </c>
      <c r="H18" t="str">
        <f t="shared" si="1"/>
        <v>NIE</v>
      </c>
      <c r="I18">
        <f t="shared" si="2"/>
        <v>1</v>
      </c>
      <c r="J18">
        <f t="shared" si="3"/>
        <v>1</v>
      </c>
      <c r="M18" s="5">
        <v>2009</v>
      </c>
      <c r="N18" s="5">
        <f>SUM(C19:C22)</f>
        <v>1296</v>
      </c>
      <c r="O18" s="5">
        <f>SUM(D19:D22)</f>
        <v>1217</v>
      </c>
      <c r="P18" s="5">
        <f>SUM(E19:E22)</f>
        <v>1343</v>
      </c>
      <c r="Q18" s="5">
        <f>SUM(F19:F22)</f>
        <v>1724</v>
      </c>
    </row>
    <row r="19" spans="1:17">
      <c r="A19">
        <v>2009</v>
      </c>
      <c r="B19">
        <v>1</v>
      </c>
      <c r="C19">
        <f t="shared" si="4"/>
        <v>315</v>
      </c>
      <c r="D19">
        <f t="shared" si="5"/>
        <v>293</v>
      </c>
      <c r="E19">
        <f t="shared" si="6"/>
        <v>322</v>
      </c>
      <c r="F19">
        <f t="shared" si="7"/>
        <v>419</v>
      </c>
      <c r="G19">
        <f t="shared" si="0"/>
        <v>1</v>
      </c>
      <c r="H19" t="str">
        <f t="shared" si="1"/>
        <v>NIE</v>
      </c>
      <c r="I19">
        <f t="shared" si="2"/>
        <v>1</v>
      </c>
      <c r="J19">
        <f t="shared" si="3"/>
        <v>1</v>
      </c>
      <c r="M19" s="5">
        <v>2010</v>
      </c>
      <c r="N19" s="5">
        <f>SUM(C23:C26)</f>
        <v>1332</v>
      </c>
      <c r="O19" s="5">
        <f>SUM(D23:D26)</f>
        <v>1264</v>
      </c>
      <c r="P19" s="5">
        <f>SUM(E23:E26)</f>
        <v>1400</v>
      </c>
      <c r="Q19" s="5">
        <f>SUM(F23:F26)</f>
        <v>1772</v>
      </c>
    </row>
    <row r="20" spans="1:17">
      <c r="A20">
        <v>2009</v>
      </c>
      <c r="B20">
        <v>2</v>
      </c>
      <c r="C20">
        <f t="shared" si="4"/>
        <v>321</v>
      </c>
      <c r="D20">
        <f t="shared" si="5"/>
        <v>300</v>
      </c>
      <c r="E20">
        <f t="shared" si="6"/>
        <v>331</v>
      </c>
      <c r="F20">
        <f t="shared" si="7"/>
        <v>427</v>
      </c>
      <c r="G20">
        <f t="shared" si="0"/>
        <v>1</v>
      </c>
      <c r="H20" t="str">
        <f t="shared" si="1"/>
        <v>NIE</v>
      </c>
      <c r="I20">
        <f t="shared" si="2"/>
        <v>1</v>
      </c>
      <c r="J20">
        <f t="shared" si="3"/>
        <v>1</v>
      </c>
      <c r="M20" s="5">
        <v>2011</v>
      </c>
      <c r="N20" s="5">
        <f>SUM(C27:C30)</f>
        <v>1292</v>
      </c>
      <c r="O20" s="5">
        <f>SUM(D27:D30)</f>
        <v>1224</v>
      </c>
      <c r="P20" s="5">
        <f>SUM(E27:E30)</f>
        <v>1330</v>
      </c>
      <c r="Q20" s="5">
        <f>SUM(F27:F30)</f>
        <v>1658</v>
      </c>
    </row>
    <row r="21" spans="1:17">
      <c r="A21">
        <v>2009</v>
      </c>
      <c r="B21">
        <v>3</v>
      </c>
      <c r="C21">
        <f t="shared" si="4"/>
        <v>327</v>
      </c>
      <c r="D21">
        <f t="shared" si="5"/>
        <v>308</v>
      </c>
      <c r="E21">
        <f t="shared" si="6"/>
        <v>340</v>
      </c>
      <c r="F21">
        <f t="shared" si="7"/>
        <v>435</v>
      </c>
      <c r="G21">
        <f t="shared" si="0"/>
        <v>1</v>
      </c>
      <c r="H21">
        <f t="shared" si="1"/>
        <v>1</v>
      </c>
      <c r="I21">
        <f t="shared" si="2"/>
        <v>1</v>
      </c>
      <c r="J21">
        <f t="shared" si="3"/>
        <v>1</v>
      </c>
      <c r="M21" s="5">
        <v>2012</v>
      </c>
      <c r="N21" s="5">
        <f>SUM(C31:C34)</f>
        <v>1228</v>
      </c>
      <c r="O21" s="5">
        <f>SUM(D31:D34)</f>
        <v>1160</v>
      </c>
      <c r="P21" s="5">
        <f>SUM(E31:E34)</f>
        <v>1224</v>
      </c>
      <c r="Q21" s="5">
        <f>SUM(F31:F34)</f>
        <v>1492</v>
      </c>
    </row>
    <row r="22" spans="1:17">
      <c r="A22">
        <v>2009</v>
      </c>
      <c r="B22">
        <v>4</v>
      </c>
      <c r="C22">
        <f t="shared" si="4"/>
        <v>333</v>
      </c>
      <c r="D22">
        <f t="shared" si="5"/>
        <v>316</v>
      </c>
      <c r="E22">
        <f t="shared" si="6"/>
        <v>350</v>
      </c>
      <c r="F22">
        <f t="shared" si="7"/>
        <v>443</v>
      </c>
      <c r="G22">
        <f t="shared" si="0"/>
        <v>1</v>
      </c>
      <c r="H22">
        <f t="shared" si="1"/>
        <v>1</v>
      </c>
      <c r="I22">
        <f t="shared" si="2"/>
        <v>1</v>
      </c>
      <c r="J22">
        <f t="shared" si="3"/>
        <v>1</v>
      </c>
    </row>
    <row r="23" spans="1:17">
      <c r="A23">
        <v>2010</v>
      </c>
      <c r="B23">
        <v>1</v>
      </c>
      <c r="C23">
        <f>C22</f>
        <v>333</v>
      </c>
      <c r="D23">
        <f t="shared" ref="D23:F23" si="8">D22</f>
        <v>316</v>
      </c>
      <c r="E23">
        <f t="shared" si="8"/>
        <v>350</v>
      </c>
      <c r="F23">
        <f t="shared" si="8"/>
        <v>443</v>
      </c>
      <c r="G23">
        <f t="shared" si="0"/>
        <v>1</v>
      </c>
      <c r="H23">
        <f t="shared" si="1"/>
        <v>1</v>
      </c>
      <c r="I23">
        <f t="shared" si="2"/>
        <v>1</v>
      </c>
      <c r="J23">
        <f t="shared" si="3"/>
        <v>1</v>
      </c>
    </row>
    <row r="24" spans="1:17">
      <c r="A24">
        <v>2010</v>
      </c>
      <c r="B24">
        <v>2</v>
      </c>
      <c r="C24">
        <f t="shared" ref="C24:C26" si="9">C23</f>
        <v>333</v>
      </c>
      <c r="D24">
        <f t="shared" ref="D24:D26" si="10">D23</f>
        <v>316</v>
      </c>
      <c r="E24">
        <f t="shared" ref="E24:E26" si="11">E23</f>
        <v>350</v>
      </c>
      <c r="F24">
        <f t="shared" ref="F24:F26" si="12">F23</f>
        <v>443</v>
      </c>
      <c r="G24">
        <f t="shared" si="0"/>
        <v>1</v>
      </c>
      <c r="H24">
        <f t="shared" si="1"/>
        <v>1</v>
      </c>
      <c r="I24">
        <f t="shared" si="2"/>
        <v>1</v>
      </c>
      <c r="J24">
        <f t="shared" si="3"/>
        <v>1</v>
      </c>
    </row>
    <row r="25" spans="1:17">
      <c r="A25">
        <v>2010</v>
      </c>
      <c r="B25">
        <v>3</v>
      </c>
      <c r="C25">
        <f t="shared" si="9"/>
        <v>333</v>
      </c>
      <c r="D25">
        <f t="shared" si="10"/>
        <v>316</v>
      </c>
      <c r="E25">
        <f t="shared" si="11"/>
        <v>350</v>
      </c>
      <c r="F25">
        <f t="shared" si="12"/>
        <v>443</v>
      </c>
      <c r="G25">
        <f t="shared" si="0"/>
        <v>1</v>
      </c>
      <c r="H25">
        <f t="shared" si="1"/>
        <v>1</v>
      </c>
      <c r="I25">
        <f t="shared" si="2"/>
        <v>1</v>
      </c>
      <c r="J25">
        <f t="shared" si="3"/>
        <v>1</v>
      </c>
    </row>
    <row r="26" spans="1:17">
      <c r="A26">
        <v>2010</v>
      </c>
      <c r="B26">
        <v>4</v>
      </c>
      <c r="C26">
        <f t="shared" si="9"/>
        <v>333</v>
      </c>
      <c r="D26">
        <f t="shared" si="10"/>
        <v>316</v>
      </c>
      <c r="E26">
        <f t="shared" si="11"/>
        <v>350</v>
      </c>
      <c r="F26">
        <f t="shared" si="12"/>
        <v>443</v>
      </c>
      <c r="G26">
        <f t="shared" si="0"/>
        <v>1</v>
      </c>
      <c r="H26">
        <f t="shared" si="1"/>
        <v>1</v>
      </c>
      <c r="I26">
        <f t="shared" si="2"/>
        <v>1</v>
      </c>
      <c r="J26">
        <f t="shared" si="3"/>
        <v>1</v>
      </c>
    </row>
    <row r="27" spans="1:17">
      <c r="A27">
        <v>2011</v>
      </c>
      <c r="B27">
        <v>1</v>
      </c>
      <c r="C27">
        <f>INT(C26*99%)</f>
        <v>329</v>
      </c>
      <c r="D27">
        <f>INT(D26*98.8%)</f>
        <v>312</v>
      </c>
      <c r="E27">
        <f>INT(E26*98.1%)</f>
        <v>343</v>
      </c>
      <c r="F27">
        <f>INT(F26*97.5%)</f>
        <v>431</v>
      </c>
      <c r="G27">
        <f t="shared" si="0"/>
        <v>1</v>
      </c>
      <c r="H27">
        <f t="shared" si="1"/>
        <v>1</v>
      </c>
      <c r="I27">
        <f t="shared" si="2"/>
        <v>1</v>
      </c>
      <c r="J27">
        <f t="shared" si="3"/>
        <v>1</v>
      </c>
    </row>
    <row r="28" spans="1:17">
      <c r="A28">
        <v>2011</v>
      </c>
      <c r="B28">
        <v>2</v>
      </c>
      <c r="C28">
        <f t="shared" ref="C28:C34" si="13">INT(C27*99%)</f>
        <v>325</v>
      </c>
      <c r="D28">
        <f t="shared" ref="D28:D34" si="14">INT(D27*98.8%)</f>
        <v>308</v>
      </c>
      <c r="E28">
        <f t="shared" ref="E28:E34" si="15">INT(E27*98.1%)</f>
        <v>336</v>
      </c>
      <c r="F28">
        <f t="shared" ref="F28:F34" si="16">INT(F27*97.5%)</f>
        <v>420</v>
      </c>
      <c r="G28">
        <f t="shared" si="0"/>
        <v>1</v>
      </c>
      <c r="H28">
        <f t="shared" si="1"/>
        <v>1</v>
      </c>
      <c r="I28">
        <f t="shared" si="2"/>
        <v>1</v>
      </c>
      <c r="J28">
        <f t="shared" si="3"/>
        <v>1</v>
      </c>
    </row>
    <row r="29" spans="1:17">
      <c r="A29">
        <v>2011</v>
      </c>
      <c r="B29">
        <v>3</v>
      </c>
      <c r="C29">
        <f t="shared" si="13"/>
        <v>321</v>
      </c>
      <c r="D29">
        <f t="shared" si="14"/>
        <v>304</v>
      </c>
      <c r="E29">
        <f t="shared" si="15"/>
        <v>329</v>
      </c>
      <c r="F29">
        <f t="shared" si="16"/>
        <v>409</v>
      </c>
      <c r="G29">
        <f t="shared" si="0"/>
        <v>1</v>
      </c>
      <c r="H29">
        <f t="shared" si="1"/>
        <v>1</v>
      </c>
      <c r="I29">
        <f t="shared" si="2"/>
        <v>1</v>
      </c>
      <c r="J29">
        <f t="shared" si="3"/>
        <v>1</v>
      </c>
    </row>
    <row r="30" spans="1:17">
      <c r="A30">
        <v>2011</v>
      </c>
      <c r="B30">
        <v>4</v>
      </c>
      <c r="C30">
        <f t="shared" si="13"/>
        <v>317</v>
      </c>
      <c r="D30">
        <f t="shared" si="14"/>
        <v>300</v>
      </c>
      <c r="E30">
        <f t="shared" si="15"/>
        <v>322</v>
      </c>
      <c r="F30">
        <f t="shared" si="16"/>
        <v>398</v>
      </c>
      <c r="G30">
        <f t="shared" si="0"/>
        <v>1</v>
      </c>
      <c r="H30" t="str">
        <f t="shared" si="1"/>
        <v>NIE</v>
      </c>
      <c r="I30">
        <f t="shared" si="2"/>
        <v>1</v>
      </c>
      <c r="J30">
        <f t="shared" si="3"/>
        <v>1</v>
      </c>
    </row>
    <row r="31" spans="1:17">
      <c r="A31">
        <v>2012</v>
      </c>
      <c r="B31">
        <v>1</v>
      </c>
      <c r="C31">
        <f t="shared" si="13"/>
        <v>313</v>
      </c>
      <c r="D31">
        <f t="shared" si="14"/>
        <v>296</v>
      </c>
      <c r="E31">
        <f t="shared" si="15"/>
        <v>315</v>
      </c>
      <c r="F31">
        <f t="shared" si="16"/>
        <v>388</v>
      </c>
      <c r="G31">
        <f t="shared" si="0"/>
        <v>1</v>
      </c>
      <c r="H31" t="str">
        <f t="shared" si="1"/>
        <v>NIE</v>
      </c>
      <c r="I31">
        <f t="shared" si="2"/>
        <v>1</v>
      </c>
      <c r="J31">
        <f t="shared" si="3"/>
        <v>1</v>
      </c>
    </row>
    <row r="32" spans="1:17">
      <c r="A32">
        <v>2012</v>
      </c>
      <c r="B32">
        <v>2</v>
      </c>
      <c r="C32">
        <f t="shared" si="13"/>
        <v>309</v>
      </c>
      <c r="D32">
        <f t="shared" si="14"/>
        <v>292</v>
      </c>
      <c r="E32">
        <f t="shared" si="15"/>
        <v>309</v>
      </c>
      <c r="F32">
        <f t="shared" si="16"/>
        <v>378</v>
      </c>
      <c r="G32">
        <f t="shared" si="0"/>
        <v>1</v>
      </c>
      <c r="H32" t="str">
        <f t="shared" si="1"/>
        <v>NIE</v>
      </c>
      <c r="I32">
        <f t="shared" si="2"/>
        <v>1</v>
      </c>
      <c r="J32">
        <f t="shared" si="3"/>
        <v>1</v>
      </c>
    </row>
    <row r="33" spans="1:10">
      <c r="A33">
        <v>2012</v>
      </c>
      <c r="B33">
        <v>3</v>
      </c>
      <c r="C33">
        <f t="shared" si="13"/>
        <v>305</v>
      </c>
      <c r="D33">
        <f t="shared" si="14"/>
        <v>288</v>
      </c>
      <c r="E33">
        <f t="shared" si="15"/>
        <v>303</v>
      </c>
      <c r="F33">
        <f t="shared" si="16"/>
        <v>368</v>
      </c>
      <c r="G33">
        <f t="shared" si="0"/>
        <v>1</v>
      </c>
      <c r="H33" t="str">
        <f t="shared" si="1"/>
        <v>NIE</v>
      </c>
      <c r="I33">
        <f t="shared" si="2"/>
        <v>1</v>
      </c>
      <c r="J33">
        <f t="shared" si="3"/>
        <v>1</v>
      </c>
    </row>
    <row r="34" spans="1:10">
      <c r="A34">
        <v>2012</v>
      </c>
      <c r="B34">
        <v>4</v>
      </c>
      <c r="C34">
        <f t="shared" si="13"/>
        <v>301</v>
      </c>
      <c r="D34">
        <f t="shared" si="14"/>
        <v>284</v>
      </c>
      <c r="E34">
        <f t="shared" si="15"/>
        <v>297</v>
      </c>
      <c r="F34">
        <f t="shared" si="16"/>
        <v>358</v>
      </c>
      <c r="G34">
        <f t="shared" si="0"/>
        <v>1</v>
      </c>
      <c r="H34" t="str">
        <f t="shared" si="1"/>
        <v>NIE</v>
      </c>
      <c r="I34" t="str">
        <f t="shared" si="2"/>
        <v>NIE</v>
      </c>
      <c r="J34">
        <f t="shared" si="3"/>
        <v>1</v>
      </c>
    </row>
    <row r="35" spans="1:10">
      <c r="A35">
        <v>2013</v>
      </c>
      <c r="B35">
        <v>1</v>
      </c>
      <c r="C35">
        <f t="shared" ref="C35:C40" si="17">INT(C34*99%)</f>
        <v>297</v>
      </c>
      <c r="D35">
        <f t="shared" ref="D35:D40" si="18">INT(D34*98.8%)</f>
        <v>280</v>
      </c>
      <c r="E35">
        <f t="shared" ref="E35:E40" si="19">INT(E34*98.1%)</f>
        <v>291</v>
      </c>
      <c r="F35">
        <f t="shared" ref="F35:F40" si="20">INT(F34*97.5%)</f>
        <v>349</v>
      </c>
    </row>
    <row r="36" spans="1:10">
      <c r="A36">
        <v>2013</v>
      </c>
      <c r="B36">
        <v>2</v>
      </c>
      <c r="C36">
        <f t="shared" si="17"/>
        <v>294</v>
      </c>
      <c r="D36">
        <f t="shared" si="18"/>
        <v>276</v>
      </c>
      <c r="E36">
        <f t="shared" si="19"/>
        <v>285</v>
      </c>
      <c r="F36">
        <f t="shared" si="20"/>
        <v>340</v>
      </c>
    </row>
    <row r="37" spans="1:10">
      <c r="A37">
        <v>2013</v>
      </c>
      <c r="B37">
        <v>3</v>
      </c>
      <c r="C37">
        <f t="shared" si="17"/>
        <v>291</v>
      </c>
      <c r="D37">
        <f t="shared" si="18"/>
        <v>272</v>
      </c>
      <c r="E37">
        <f t="shared" si="19"/>
        <v>279</v>
      </c>
      <c r="F37">
        <f t="shared" si="20"/>
        <v>331</v>
      </c>
    </row>
    <row r="38" spans="1:10">
      <c r="A38">
        <v>2013</v>
      </c>
      <c r="B38">
        <v>4</v>
      </c>
      <c r="C38">
        <f t="shared" si="17"/>
        <v>288</v>
      </c>
      <c r="D38">
        <f t="shared" si="18"/>
        <v>268</v>
      </c>
      <c r="E38">
        <f t="shared" si="19"/>
        <v>273</v>
      </c>
      <c r="F38">
        <f t="shared" si="20"/>
        <v>322</v>
      </c>
    </row>
    <row r="39" spans="1:10">
      <c r="A39">
        <v>2014</v>
      </c>
      <c r="B39">
        <v>1</v>
      </c>
      <c r="C39">
        <f t="shared" si="17"/>
        <v>285</v>
      </c>
      <c r="D39">
        <f t="shared" si="18"/>
        <v>264</v>
      </c>
      <c r="E39">
        <f t="shared" si="19"/>
        <v>267</v>
      </c>
      <c r="F39">
        <f t="shared" si="20"/>
        <v>313</v>
      </c>
    </row>
    <row r="40" spans="1:10">
      <c r="A40">
        <v>2014</v>
      </c>
      <c r="B40">
        <v>2</v>
      </c>
      <c r="C40">
        <f t="shared" si="17"/>
        <v>282</v>
      </c>
      <c r="D40">
        <f t="shared" si="18"/>
        <v>260</v>
      </c>
      <c r="E40">
        <f t="shared" si="19"/>
        <v>261</v>
      </c>
      <c r="F40">
        <f t="shared" si="20"/>
        <v>305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>Ministrerstwo Edukacji Narodowej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Kalinski</dc:creator>
  <cp:lastModifiedBy>Jakub Kalinski</cp:lastModifiedBy>
  <dcterms:created xsi:type="dcterms:W3CDTF">2022-12-03T21:13:02Z</dcterms:created>
  <dcterms:modified xsi:type="dcterms:W3CDTF">2022-12-03T22:39:56Z</dcterms:modified>
</cp:coreProperties>
</file>